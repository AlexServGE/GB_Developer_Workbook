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0055" windowHeight="7935" activeTab="2"/>
  </bookViews>
  <sheets>
    <sheet name="Лист1" sheetId="1" r:id="rId1"/>
    <sheet name="Лист2" sheetId="2" r:id="rId2"/>
    <sheet name="Mixed" sheetId="3" r:id="rId3"/>
    <sheet name="Лист3" sheetId="4" r:id="rId4"/>
  </sheets>
  <definedNames>
    <definedName name="Еврофура">Лист2!$Q$3:$Q$11</definedName>
    <definedName name="Кол_во_клиентов">Лист2!$N$11:$N$21</definedName>
    <definedName name="_xlnm.Print_Area" localSheetId="2">Mixed!$A$1:$L$61</definedName>
    <definedName name="ООО__АТЭС_групп">Лист2!$N$33:$N$51</definedName>
  </definedNames>
  <calcPr calcId="124519"/>
</workbook>
</file>

<file path=xl/calcChain.xml><?xml version="1.0" encoding="utf-8"?>
<calcChain xmlns="http://schemas.openxmlformats.org/spreadsheetml/2006/main">
  <c r="H10" i="2"/>
</calcChain>
</file>

<file path=xl/sharedStrings.xml><?xml version="1.0" encoding="utf-8"?>
<sst xmlns="http://schemas.openxmlformats.org/spreadsheetml/2006/main" count="108" uniqueCount="105">
  <si>
    <t>D07500139</t>
  </si>
  <si>
    <t>D07500138</t>
  </si>
  <si>
    <t>D07500237</t>
  </si>
  <si>
    <t>D07500318</t>
  </si>
  <si>
    <t>D07500241</t>
  </si>
  <si>
    <t>D07500395</t>
  </si>
  <si>
    <t>D07500173</t>
  </si>
  <si>
    <t>D07500142</t>
  </si>
  <si>
    <t>D07500162</t>
  </si>
  <si>
    <t>D07500203</t>
  </si>
  <si>
    <t>ИП Лозин П.Н.</t>
  </si>
  <si>
    <t>ООО ШИНИНВЕСТ</t>
  </si>
  <si>
    <t>ООО АВТОПРОЕКТ</t>
  </si>
  <si>
    <t>ОАО Группа Росшина</t>
  </si>
  <si>
    <t>ООО ДЖЕНСЕР СЕРВИС</t>
  </si>
  <si>
    <t>ООО Транстайрсервис</t>
  </si>
  <si>
    <t>ООО Кубань-Скан</t>
  </si>
  <si>
    <t>Обособленное подразделение ООО "АРС"</t>
  </si>
  <si>
    <t>ООО МВ-Сервис</t>
  </si>
  <si>
    <t>ООО "ТД ШинВалом"</t>
  </si>
  <si>
    <t>D-код (грузополучатель)</t>
  </si>
  <si>
    <t>Адрес1</t>
  </si>
  <si>
    <t>Адрес2</t>
  </si>
  <si>
    <t>Аксай</t>
  </si>
  <si>
    <t>Москва</t>
  </si>
  <si>
    <t>Саратов</t>
  </si>
  <si>
    <t>Электросталь</t>
  </si>
  <si>
    <t>Санкт-Петербург</t>
  </si>
  <si>
    <t>ст. Динская</t>
  </si>
  <si>
    <t>Киров</t>
  </si>
  <si>
    <t>Воронеж</t>
  </si>
  <si>
    <t>Батайск 1090км+500м трассы</t>
  </si>
  <si>
    <t>Часы работы склада</t>
  </si>
  <si>
    <t>пн-сб 8.00-20.00</t>
  </si>
  <si>
    <t>пн-пт 9.00-16.00</t>
  </si>
  <si>
    <t>пн-чт 8.00-16.00, пт 8.00-14.00</t>
  </si>
  <si>
    <t>пн-пт 9.00-18.00</t>
  </si>
  <si>
    <t>пн-пт 10.00-16.30</t>
  </si>
  <si>
    <t>пн-пт 8.00-14.30</t>
  </si>
  <si>
    <t>пн-пт 08.00-18.00 (доставка товара)</t>
  </si>
  <si>
    <t>пн-вс 09.00-21.00</t>
  </si>
  <si>
    <t>пн-пт 09.00-18.00</t>
  </si>
  <si>
    <t>ФИО представителя</t>
  </si>
  <si>
    <t xml:space="preserve">Лозин Павел, Комогоров Александр </t>
  </si>
  <si>
    <t>Демидов Эдуард Владимирович</t>
  </si>
  <si>
    <t>Гвоздева Е.В., Нетесов И.В.</t>
  </si>
  <si>
    <t>Кротов Андрей</t>
  </si>
  <si>
    <t>Дюко И.А.</t>
  </si>
  <si>
    <t>Потапов Семен</t>
  </si>
  <si>
    <t>Зуберев Андрей, Охапкиа И.В.</t>
  </si>
  <si>
    <t>Какоткин Александр</t>
  </si>
  <si>
    <t>Вячеслав</t>
  </si>
  <si>
    <t>Вес</t>
  </si>
  <si>
    <t>Адрес3</t>
  </si>
  <si>
    <t>ул. Шолохова 7</t>
  </si>
  <si>
    <t>Очаковское ш, д. 3</t>
  </si>
  <si>
    <t>Песчано-Уметский тракт 2км</t>
  </si>
  <si>
    <t>Криулинский пр-д, д.5</t>
  </si>
  <si>
    <t>ул. Добролюбова, 2б</t>
  </si>
  <si>
    <t>ул. Литовская, д.16</t>
  </si>
  <si>
    <t>ул. Крайняя, д.8</t>
  </si>
  <si>
    <t>ул.Менделеева, д.4</t>
  </si>
  <si>
    <t>пер. Специалистов, д.6</t>
  </si>
  <si>
    <t>М4 "Дон", д.1, ТСЦ "ШинВалом"</t>
  </si>
  <si>
    <t>Тип контейнера</t>
  </si>
  <si>
    <t>3-х тонный</t>
  </si>
  <si>
    <t>5-ти тонный</t>
  </si>
  <si>
    <t>20-ти тонный</t>
  </si>
  <si>
    <t>Тип транспорта</t>
  </si>
  <si>
    <t>Тип доставки</t>
  </si>
  <si>
    <t>Еврофура</t>
  </si>
  <si>
    <t>Вагон</t>
  </si>
  <si>
    <t xml:space="preserve">Каркасы </t>
  </si>
  <si>
    <t>Контейнер</t>
  </si>
  <si>
    <t>10 т - 30 м3</t>
  </si>
  <si>
    <t>10 т - 40 м3</t>
  </si>
  <si>
    <t>3.5 т - 16 м3</t>
  </si>
  <si>
    <t>1.5 т - 6 м3</t>
  </si>
  <si>
    <t>Место загрузки Нижний Новгород</t>
  </si>
  <si>
    <t>Кол-во грузополучателей</t>
  </si>
  <si>
    <t>Транспортные компании</t>
  </si>
  <si>
    <t>ООО "АТЭС групп"</t>
  </si>
  <si>
    <t>АО "Шенкер"</t>
  </si>
  <si>
    <t>ООО ЖЕФКО</t>
  </si>
  <si>
    <t>АО Лорри</t>
  </si>
  <si>
    <t>ООО Итеко Евразия</t>
  </si>
  <si>
    <t>ООО Мэйджор Карго Сервис</t>
  </si>
  <si>
    <t>ЗАО ФМ ЛОЖИСТИК ВОСТОК</t>
  </si>
  <si>
    <t>ООО Крафтер</t>
  </si>
  <si>
    <t>ООО Грузовые силы</t>
  </si>
  <si>
    <t>ООО МАГ-АВТО ЛОГИСТИК</t>
  </si>
  <si>
    <t>ООО "Логистическая Компания "Веста"</t>
  </si>
  <si>
    <t>ООО Гетвей</t>
  </si>
  <si>
    <t>ООО "ФККГруп"</t>
  </si>
  <si>
    <t>ООО ТЭК Лидер Транс</t>
  </si>
  <si>
    <t>ЗАО Вестинтертранс</t>
  </si>
  <si>
    <t>ООО "МАКСИЛОГ-ЛОГИСТИКА"</t>
  </si>
  <si>
    <t>ООО "Глобалтрак Лоджистик"</t>
  </si>
  <si>
    <t>ООО "Горбуновъ"</t>
  </si>
  <si>
    <t>ООО Делко</t>
  </si>
  <si>
    <t>Кол-во кл. на платформе</t>
  </si>
  <si>
    <t xml:space="preserve">Кол-во клиентов </t>
  </si>
  <si>
    <t>Дата заявки:</t>
  </si>
  <si>
    <t>Дата отгрузки:</t>
  </si>
  <si>
    <t>Время ТС под загрузку: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</si>
</sst>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14" fontId="0" fillId="2" borderId="1" xfId="0" applyNumberFormat="1" applyFill="1" applyBorder="1"/>
    <xf numFmtId="0" fontId="0" fillId="2" borderId="1" xfId="0" applyFill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99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4710;1640"/>
  <ax:ocxPr ax:name="Value" ax:value="0"/>
  <ax:ocxPr ax:name="Caption" ax:value="CheckBox1"/>
  <ax:ocxPr ax:name="GroupName" ax:value="Лист2"/>
  <ax:ocxPr ax:name="FontName" ax:value="Calibri"/>
  <ax:ocxPr ax:name="FontHeight" ax:value="225"/>
  <ax:ocxPr ax:name="FontCharSet" ax:value="204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6959;2884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2</xdr:row>
      <xdr:rowOff>142875</xdr:rowOff>
    </xdr:from>
    <xdr:to>
      <xdr:col>7</xdr:col>
      <xdr:colOff>685800</xdr:colOff>
      <xdr:row>6</xdr:row>
      <xdr:rowOff>104775</xdr:rowOff>
    </xdr:to>
    <xdr:sp macro="" textlink="">
      <xdr:nvSpPr>
        <xdr:cNvPr id="2" name="Прямоугольник 1"/>
        <xdr:cNvSpPr/>
      </xdr:nvSpPr>
      <xdr:spPr>
        <a:xfrm>
          <a:off x="1943100" y="523875"/>
          <a:ext cx="4610100" cy="723900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ru-RU" sz="1500" b="1">
              <a:latin typeface="Arial" pitchFamily="34" charset="0"/>
              <a:cs typeface="Arial" pitchFamily="34" charset="0"/>
            </a:rPr>
            <a:t>Параметры</a:t>
          </a:r>
          <a:r>
            <a:rPr lang="ru-RU" sz="1500" b="1" baseline="0">
              <a:latin typeface="Arial" pitchFamily="34" charset="0"/>
              <a:cs typeface="Arial" pitchFamily="34" charset="0"/>
            </a:rPr>
            <a:t> заявки</a:t>
          </a:r>
          <a:endParaRPr lang="ru-RU" sz="15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1638300</xdr:colOff>
      <xdr:row>8</xdr:row>
      <xdr:rowOff>38100</xdr:rowOff>
    </xdr:from>
    <xdr:to>
      <xdr:col>4</xdr:col>
      <xdr:colOff>590550</xdr:colOff>
      <xdr:row>9</xdr:row>
      <xdr:rowOff>152400</xdr:rowOff>
    </xdr:to>
    <xdr:sp macro="" textlink="">
      <xdr:nvSpPr>
        <xdr:cNvPr id="3" name="Прямоугольник 2"/>
        <xdr:cNvSpPr/>
      </xdr:nvSpPr>
      <xdr:spPr>
        <a:xfrm>
          <a:off x="2247900" y="1562100"/>
          <a:ext cx="2381250" cy="31432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ДАТА</a:t>
          </a:r>
        </a:p>
      </xdr:txBody>
    </xdr:sp>
    <xdr:clientData/>
  </xdr:twoCellAnchor>
  <xdr:twoCellAnchor>
    <xdr:from>
      <xdr:col>1</xdr:col>
      <xdr:colOff>1666875</xdr:colOff>
      <xdr:row>10</xdr:row>
      <xdr:rowOff>95251</xdr:rowOff>
    </xdr:from>
    <xdr:to>
      <xdr:col>4</xdr:col>
      <xdr:colOff>581025</xdr:colOff>
      <xdr:row>12</xdr:row>
      <xdr:rowOff>1</xdr:rowOff>
    </xdr:to>
    <xdr:sp macro="" textlink="">
      <xdr:nvSpPr>
        <xdr:cNvPr id="4" name="Прямоугольник 3"/>
        <xdr:cNvSpPr/>
      </xdr:nvSpPr>
      <xdr:spPr>
        <a:xfrm>
          <a:off x="2276475" y="2019301"/>
          <a:ext cx="2343150" cy="30480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КОМПАНИЯ</a:t>
          </a:r>
        </a:p>
      </xdr:txBody>
    </xdr:sp>
    <xdr:clientData/>
  </xdr:twoCellAnchor>
  <xdr:twoCellAnchor>
    <xdr:from>
      <xdr:col>1</xdr:col>
      <xdr:colOff>1685925</xdr:colOff>
      <xdr:row>12</xdr:row>
      <xdr:rowOff>142876</xdr:rowOff>
    </xdr:from>
    <xdr:to>
      <xdr:col>4</xdr:col>
      <xdr:colOff>581025</xdr:colOff>
      <xdr:row>14</xdr:row>
      <xdr:rowOff>9526</xdr:rowOff>
    </xdr:to>
    <xdr:sp macro="" textlink="">
      <xdr:nvSpPr>
        <xdr:cNvPr id="5" name="Прямоугольник 4"/>
        <xdr:cNvSpPr/>
      </xdr:nvSpPr>
      <xdr:spPr>
        <a:xfrm>
          <a:off x="2295525" y="2466976"/>
          <a:ext cx="2324100" cy="26670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ТИП ДОСТАВКИ</a:t>
          </a:r>
        </a:p>
      </xdr:txBody>
    </xdr:sp>
    <xdr:clientData/>
  </xdr:twoCellAnchor>
  <xdr:twoCellAnchor>
    <xdr:from>
      <xdr:col>1</xdr:col>
      <xdr:colOff>1666874</xdr:colOff>
      <xdr:row>14</xdr:row>
      <xdr:rowOff>161926</xdr:rowOff>
    </xdr:from>
    <xdr:to>
      <xdr:col>4</xdr:col>
      <xdr:colOff>552449</xdr:colOff>
      <xdr:row>16</xdr:row>
      <xdr:rowOff>28576</xdr:rowOff>
    </xdr:to>
    <xdr:sp macro="" textlink="">
      <xdr:nvSpPr>
        <xdr:cNvPr id="6" name="Прямоугольник 5"/>
        <xdr:cNvSpPr/>
      </xdr:nvSpPr>
      <xdr:spPr>
        <a:xfrm>
          <a:off x="2276474" y="2886076"/>
          <a:ext cx="2314575" cy="26670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КОЛИЧЕСТВО ГРУЗОПОЛУЧАТЕЛЕЙ</a:t>
          </a:r>
        </a:p>
        <a:p>
          <a:pPr algn="ctr"/>
          <a:endParaRPr lang="ru-RU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1</xdr:col>
      <xdr:colOff>1685924</xdr:colOff>
      <xdr:row>16</xdr:row>
      <xdr:rowOff>171450</xdr:rowOff>
    </xdr:from>
    <xdr:to>
      <xdr:col>4</xdr:col>
      <xdr:colOff>571499</xdr:colOff>
      <xdr:row>18</xdr:row>
      <xdr:rowOff>28575</xdr:rowOff>
    </xdr:to>
    <xdr:sp macro="" textlink="">
      <xdr:nvSpPr>
        <xdr:cNvPr id="7" name="Прямоугольник 6"/>
        <xdr:cNvSpPr/>
      </xdr:nvSpPr>
      <xdr:spPr>
        <a:xfrm>
          <a:off x="2295524" y="3295650"/>
          <a:ext cx="2314575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>
              <a:ln>
                <a:solidFill>
                  <a:sysClr val="windowText" lastClr="000000"/>
                </a:solidFill>
              </a:ln>
            </a:rPr>
            <a:t>UT</a:t>
          </a:r>
          <a:endParaRPr lang="ru-RU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G11"/>
  <sheetViews>
    <sheetView workbookViewId="0">
      <selection activeCell="D12" sqref="D12"/>
    </sheetView>
  </sheetViews>
  <sheetFormatPr defaultRowHeight="15"/>
  <cols>
    <col min="1" max="1" width="24" bestFit="1" customWidth="1"/>
    <col min="2" max="2" width="41" bestFit="1" customWidth="1"/>
    <col min="3" max="3" width="27.42578125" bestFit="1" customWidth="1"/>
    <col min="4" max="4" width="30.7109375" bestFit="1" customWidth="1"/>
    <col min="5" max="5" width="33.42578125" bestFit="1" customWidth="1"/>
    <col min="6" max="6" width="35.140625" bestFit="1" customWidth="1"/>
  </cols>
  <sheetData>
    <row r="1" spans="1:7">
      <c r="A1" s="1" t="s">
        <v>20</v>
      </c>
      <c r="B1" s="1" t="s">
        <v>21</v>
      </c>
      <c r="C1" s="1" t="s">
        <v>22</v>
      </c>
      <c r="D1" s="1" t="s">
        <v>53</v>
      </c>
      <c r="E1" s="1" t="s">
        <v>32</v>
      </c>
      <c r="F1" s="1" t="s">
        <v>42</v>
      </c>
      <c r="G1" s="1" t="s">
        <v>52</v>
      </c>
    </row>
    <row r="2" spans="1:7">
      <c r="A2" t="s">
        <v>0</v>
      </c>
      <c r="B2" t="s">
        <v>10</v>
      </c>
      <c r="C2" t="s">
        <v>23</v>
      </c>
      <c r="D2" t="s">
        <v>54</v>
      </c>
      <c r="E2" t="s">
        <v>33</v>
      </c>
      <c r="F2" t="s">
        <v>43</v>
      </c>
    </row>
    <row r="3" spans="1:7">
      <c r="A3" t="s">
        <v>1</v>
      </c>
      <c r="B3" t="s">
        <v>11</v>
      </c>
      <c r="C3" t="s">
        <v>24</v>
      </c>
      <c r="D3" t="s">
        <v>55</v>
      </c>
    </row>
    <row r="4" spans="1:7">
      <c r="A4" t="s">
        <v>2</v>
      </c>
      <c r="B4" t="s">
        <v>12</v>
      </c>
      <c r="C4" t="s">
        <v>25</v>
      </c>
      <c r="D4" t="s">
        <v>56</v>
      </c>
      <c r="E4" t="s">
        <v>34</v>
      </c>
      <c r="F4" t="s">
        <v>44</v>
      </c>
    </row>
    <row r="5" spans="1:7">
      <c r="A5" t="s">
        <v>3</v>
      </c>
      <c r="B5" t="s">
        <v>13</v>
      </c>
      <c r="C5" t="s">
        <v>26</v>
      </c>
      <c r="D5" t="s">
        <v>57</v>
      </c>
      <c r="E5" t="s">
        <v>35</v>
      </c>
      <c r="F5" t="s">
        <v>45</v>
      </c>
    </row>
    <row r="6" spans="1:7">
      <c r="A6" t="s">
        <v>4</v>
      </c>
      <c r="B6" t="s">
        <v>14</v>
      </c>
      <c r="C6" t="s">
        <v>24</v>
      </c>
      <c r="D6" t="s">
        <v>58</v>
      </c>
      <c r="E6" t="s">
        <v>36</v>
      </c>
      <c r="F6" t="s">
        <v>46</v>
      </c>
    </row>
    <row r="7" spans="1:7">
      <c r="A7" t="s">
        <v>5</v>
      </c>
      <c r="B7" t="s">
        <v>15</v>
      </c>
      <c r="C7" t="s">
        <v>27</v>
      </c>
      <c r="D7" t="s">
        <v>59</v>
      </c>
      <c r="E7" t="s">
        <v>37</v>
      </c>
      <c r="F7" t="s">
        <v>47</v>
      </c>
    </row>
    <row r="8" spans="1:7">
      <c r="A8" t="s">
        <v>6</v>
      </c>
      <c r="B8" t="s">
        <v>16</v>
      </c>
      <c r="C8" t="s">
        <v>28</v>
      </c>
      <c r="D8" t="s">
        <v>60</v>
      </c>
      <c r="E8" t="s">
        <v>38</v>
      </c>
      <c r="F8" t="s">
        <v>48</v>
      </c>
    </row>
    <row r="9" spans="1:7">
      <c r="A9" t="s">
        <v>7</v>
      </c>
      <c r="B9" t="s">
        <v>17</v>
      </c>
      <c r="C9" t="s">
        <v>29</v>
      </c>
      <c r="D9" t="s">
        <v>61</v>
      </c>
      <c r="E9" t="s">
        <v>39</v>
      </c>
      <c r="F9" t="s">
        <v>49</v>
      </c>
    </row>
    <row r="10" spans="1:7">
      <c r="A10" t="s">
        <v>8</v>
      </c>
      <c r="B10" t="s">
        <v>18</v>
      </c>
      <c r="C10" t="s">
        <v>30</v>
      </c>
      <c r="D10" t="s">
        <v>62</v>
      </c>
      <c r="E10" t="s">
        <v>40</v>
      </c>
      <c r="F10" t="s">
        <v>50</v>
      </c>
    </row>
    <row r="11" spans="1:7">
      <c r="A11" t="s">
        <v>9</v>
      </c>
      <c r="B11" t="s">
        <v>19</v>
      </c>
      <c r="C11" t="s">
        <v>31</v>
      </c>
      <c r="D11" t="s">
        <v>63</v>
      </c>
      <c r="E11" t="s">
        <v>41</v>
      </c>
      <c r="F11" t="s">
        <v>51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H2:Q51"/>
  <sheetViews>
    <sheetView workbookViewId="0">
      <selection activeCell="H10" sqref="H10"/>
    </sheetView>
  </sheetViews>
  <sheetFormatPr defaultRowHeight="15"/>
  <cols>
    <col min="1" max="1" width="9.140625" style="2"/>
    <col min="2" max="2" width="33.140625" style="2" bestFit="1" customWidth="1"/>
    <col min="3" max="7" width="9.140625" style="2"/>
    <col min="8" max="8" width="24.5703125" style="2" customWidth="1"/>
    <col min="9" max="13" width="9.140625" style="2"/>
    <col min="14" max="14" width="37.28515625" style="2" bestFit="1" customWidth="1"/>
    <col min="15" max="15" width="15.7109375" style="2" bestFit="1" customWidth="1"/>
    <col min="16" max="16" width="9.140625" style="2"/>
    <col min="17" max="17" width="12.85546875" style="2" bestFit="1" customWidth="1"/>
    <col min="18" max="16384" width="9.140625" style="2"/>
  </cols>
  <sheetData>
    <row r="2" spans="8:17">
      <c r="O2" s="2" t="s">
        <v>64</v>
      </c>
      <c r="P2" s="2" t="s">
        <v>68</v>
      </c>
      <c r="Q2" s="2" t="s">
        <v>69</v>
      </c>
    </row>
    <row r="3" spans="8:17">
      <c r="O3" s="2" t="s">
        <v>65</v>
      </c>
      <c r="Q3" s="2" t="s">
        <v>70</v>
      </c>
    </row>
    <row r="4" spans="8:17">
      <c r="O4" s="2" t="s">
        <v>66</v>
      </c>
      <c r="Q4" s="2" t="s">
        <v>71</v>
      </c>
    </row>
    <row r="5" spans="8:17">
      <c r="O5" s="2" t="s">
        <v>67</v>
      </c>
      <c r="Q5" s="2" t="s">
        <v>72</v>
      </c>
    </row>
    <row r="6" spans="8:17">
      <c r="Q6" s="2" t="s">
        <v>73</v>
      </c>
    </row>
    <row r="7" spans="8:17">
      <c r="Q7" s="2" t="s">
        <v>74</v>
      </c>
    </row>
    <row r="8" spans="8:17">
      <c r="N8" s="2" t="b">
        <v>0</v>
      </c>
      <c r="Q8" s="2" t="s">
        <v>75</v>
      </c>
    </row>
    <row r="9" spans="8:17" ht="15.75" thickBot="1">
      <c r="N9" s="2" t="b">
        <v>0</v>
      </c>
      <c r="Q9" s="2" t="s">
        <v>76</v>
      </c>
    </row>
    <row r="10" spans="8:17" ht="15.75" thickBot="1">
      <c r="H10" s="3">
        <f ca="1">TODAY()</f>
        <v>42901</v>
      </c>
      <c r="N10" s="2" t="s">
        <v>101</v>
      </c>
      <c r="Q10" s="2" t="s">
        <v>77</v>
      </c>
    </row>
    <row r="11" spans="8:17" ht="15.75" thickBot="1">
      <c r="N11" s="2">
        <v>0</v>
      </c>
      <c r="Q11" s="2" t="s">
        <v>78</v>
      </c>
    </row>
    <row r="12" spans="8:17" ht="15.75" thickBot="1">
      <c r="H12" s="4" t="s">
        <v>82</v>
      </c>
      <c r="N12" s="2">
        <v>1</v>
      </c>
    </row>
    <row r="13" spans="8:17" ht="15.75" thickBot="1">
      <c r="N13" s="2">
        <v>2</v>
      </c>
    </row>
    <row r="14" spans="8:17" ht="15.75" thickBot="1">
      <c r="H14" s="4" t="s">
        <v>70</v>
      </c>
      <c r="N14" s="2">
        <v>3</v>
      </c>
    </row>
    <row r="15" spans="8:17" ht="15.75" thickBot="1">
      <c r="N15" s="2">
        <v>4</v>
      </c>
    </row>
    <row r="16" spans="8:17" ht="15.75" thickBot="1">
      <c r="H16" s="4">
        <v>4</v>
      </c>
      <c r="N16" s="2">
        <v>5</v>
      </c>
    </row>
    <row r="17" spans="8:14" ht="15.75" thickBot="1">
      <c r="N17" s="2">
        <v>6</v>
      </c>
    </row>
    <row r="18" spans="8:14" ht="15.75" thickBot="1">
      <c r="H18" s="4"/>
      <c r="N18" s="2">
        <v>7</v>
      </c>
    </row>
    <row r="19" spans="8:14">
      <c r="N19" s="2">
        <v>8</v>
      </c>
    </row>
    <row r="20" spans="8:14">
      <c r="N20" s="2">
        <v>9</v>
      </c>
    </row>
    <row r="21" spans="8:14">
      <c r="N21" s="2">
        <v>10</v>
      </c>
    </row>
    <row r="24" spans="8:14">
      <c r="N24" s="2" t="s">
        <v>100</v>
      </c>
    </row>
    <row r="25" spans="8:14">
      <c r="N25" s="2">
        <v>1</v>
      </c>
    </row>
    <row r="28" spans="8:14">
      <c r="N28" s="2" t="s">
        <v>79</v>
      </c>
    </row>
    <row r="29" spans="8:14">
      <c r="N29" s="2">
        <v>9</v>
      </c>
    </row>
    <row r="32" spans="8:14">
      <c r="N32" s="2" t="s">
        <v>80</v>
      </c>
    </row>
    <row r="33" spans="14:14">
      <c r="N33" s="2" t="s">
        <v>81</v>
      </c>
    </row>
    <row r="34" spans="14:14">
      <c r="N34" s="2" t="s">
        <v>82</v>
      </c>
    </row>
    <row r="35" spans="14:14">
      <c r="N35" s="2" t="s">
        <v>83</v>
      </c>
    </row>
    <row r="36" spans="14:14">
      <c r="N36" s="2" t="s">
        <v>84</v>
      </c>
    </row>
    <row r="37" spans="14:14">
      <c r="N37" s="2" t="s">
        <v>85</v>
      </c>
    </row>
    <row r="38" spans="14:14">
      <c r="N38" s="2" t="s">
        <v>86</v>
      </c>
    </row>
    <row r="39" spans="14:14">
      <c r="N39" s="2" t="s">
        <v>87</v>
      </c>
    </row>
    <row r="40" spans="14:14">
      <c r="N40" s="2" t="s">
        <v>88</v>
      </c>
    </row>
    <row r="41" spans="14:14">
      <c r="N41" s="2" t="s">
        <v>89</v>
      </c>
    </row>
    <row r="42" spans="14:14">
      <c r="N42" s="2" t="s">
        <v>90</v>
      </c>
    </row>
    <row r="43" spans="14:14">
      <c r="N43" s="2" t="s">
        <v>91</v>
      </c>
    </row>
    <row r="44" spans="14:14">
      <c r="N44" s="2" t="s">
        <v>92</v>
      </c>
    </row>
    <row r="45" spans="14:14">
      <c r="N45" s="2" t="s">
        <v>93</v>
      </c>
    </row>
    <row r="46" spans="14:14">
      <c r="N46" s="2" t="s">
        <v>94</v>
      </c>
    </row>
    <row r="47" spans="14:14">
      <c r="N47" s="2" t="s">
        <v>95</v>
      </c>
    </row>
    <row r="48" spans="14:14">
      <c r="N48" s="2" t="s">
        <v>96</v>
      </c>
    </row>
    <row r="49" spans="14:14">
      <c r="N49" s="2" t="s">
        <v>97</v>
      </c>
    </row>
    <row r="50" spans="14:14">
      <c r="N50" s="2" t="s">
        <v>98</v>
      </c>
    </row>
    <row r="51" spans="14:14">
      <c r="N51" s="2" t="s">
        <v>99</v>
      </c>
    </row>
  </sheetData>
  <dataConsolidate/>
  <dataValidations count="3">
    <dataValidation type="list" allowBlank="1" showInputMessage="1" showErrorMessage="1" sqref="H12">
      <formula1>ООО__АТЭС_групп</formula1>
    </dataValidation>
    <dataValidation type="list" allowBlank="1" showInputMessage="1" showErrorMessage="1" sqref="H14">
      <formula1>Еврофура</formula1>
    </dataValidation>
    <dataValidation type="list" allowBlank="1" showInputMessage="1" showErrorMessage="1" sqref="H16">
      <formula1>Кол_во_клиентов</formula1>
    </dataValidation>
  </dataValidations>
  <pageMargins left="0.7" right="0.7" top="0.75" bottom="0.75" header="0.3" footer="0.3"/>
  <drawing r:id="rId1"/>
  <legacyDrawing r:id="rId2"/>
  <controls>
    <control shapeId="2050" r:id="rId3" name="CheckBox1"/>
    <control shapeId="2053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9:Q45"/>
  <sheetViews>
    <sheetView tabSelected="1" view="pageBreakPreview" topLeftCell="A11" zoomScale="85" zoomScaleSheetLayoutView="85" workbookViewId="0">
      <selection activeCell="B18" sqref="B18"/>
    </sheetView>
  </sheetViews>
  <sheetFormatPr defaultColWidth="7" defaultRowHeight="15"/>
  <cols>
    <col min="10" max="10" width="20.42578125" customWidth="1"/>
  </cols>
  <sheetData>
    <row r="9" spans="2:7">
      <c r="F9" s="5"/>
      <c r="G9" s="5"/>
    </row>
    <row r="10" spans="2:7">
      <c r="F10" s="5"/>
      <c r="G10" s="5"/>
    </row>
    <row r="11" spans="2:7">
      <c r="F11" s="5"/>
      <c r="G11" s="5"/>
    </row>
    <row r="13" spans="2:7">
      <c r="B13" t="s">
        <v>102</v>
      </c>
    </row>
    <row r="14" spans="2:7">
      <c r="B14" t="s">
        <v>103</v>
      </c>
    </row>
    <row r="15" spans="2:7">
      <c r="B15" t="s">
        <v>104</v>
      </c>
    </row>
    <row r="17" spans="2:17">
      <c r="B17" s="6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2:17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2:17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2:17">
      <c r="B21" s="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2:17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2:17">
      <c r="B24" s="6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2:17">
      <c r="B25" s="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2:17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>
      <c r="B28" s="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2:17">
      <c r="B29" s="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2:17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2:17">
      <c r="B31" s="6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17">
      <c r="B32" s="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7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7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2:17">
      <c r="B35" s="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>
      <c r="B36" s="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2:17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2:17">
      <c r="B38" s="6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2:17">
      <c r="B39" s="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2:17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2:17">
      <c r="B42" s="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2:17">
      <c r="B43" s="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2:17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</sheetData>
  <pageMargins left="0.7" right="0.7" top="0.75" bottom="0.75" header="0.3" footer="0.3"/>
  <pageSetup paperSize="9" scale="8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Лист1</vt:lpstr>
      <vt:lpstr>Лист2</vt:lpstr>
      <vt:lpstr>Mixed</vt:lpstr>
      <vt:lpstr>Лист3</vt:lpstr>
      <vt:lpstr>Еврофура</vt:lpstr>
      <vt:lpstr>Кол_во_клиентов</vt:lpstr>
      <vt:lpstr>Mixed!Область_печати</vt:lpstr>
      <vt:lpstr>ООО__АТЭС_групп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Катенька</dc:creator>
  <cp:lastModifiedBy>User</cp:lastModifiedBy>
  <dcterms:created xsi:type="dcterms:W3CDTF">2017-06-10T08:45:53Z</dcterms:created>
  <dcterms:modified xsi:type="dcterms:W3CDTF">2017-06-15T15:52:30Z</dcterms:modified>
</cp:coreProperties>
</file>