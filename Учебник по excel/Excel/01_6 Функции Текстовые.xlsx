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-15" yWindow="4125" windowWidth="15480" windowHeight="4185" firstSheet="1" activeTab="6"/>
  </bookViews>
  <sheets>
    <sheet name="ЗАДАНИЕ1" sheetId="11" r:id="rId1"/>
    <sheet name="ЗАДАНИЕ2" sheetId="35" r:id="rId2"/>
    <sheet name="ЗАДАНИЕ3" sheetId="37" r:id="rId3"/>
    <sheet name="ЗАДАНИЕ4" sheetId="38" r:id="rId4"/>
    <sheet name="ЗАДАНИЕ5" sheetId="36" r:id="rId5"/>
    <sheet name="ЗАДАНИЕ6" sheetId="12" r:id="rId6"/>
    <sheet name="ЗАДАНИЕ7" sheetId="39" r:id="rId7"/>
  </sheets>
  <externalReferences>
    <externalReference r:id="rId8"/>
    <externalReference r:id="rId9"/>
  </externalReferences>
  <definedNames>
    <definedName name="__IntlFixup" hidden="1">TRUE</definedName>
    <definedName name="AccessDatabase" hidden="1">"C:\My Documents\MAUI MALL1.mdb"</definedName>
    <definedName name="ACwvu.CapersView." localSheetId="1" hidden="1">[1]MASTER!#REF!</definedName>
    <definedName name="ACwvu.CapersView." localSheetId="2" hidden="1">[1]MASTER!#REF!</definedName>
    <definedName name="ACwvu.CapersView." localSheetId="3" hidden="1">[1]MASTER!#REF!</definedName>
    <definedName name="ACwvu.CapersView." localSheetId="4" hidden="1">[1]MASTER!#REF!</definedName>
    <definedName name="ACwvu.CapersView." localSheetId="6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1" hidden="1">[1]MASTER!#REF!</definedName>
    <definedName name="Cwvu.CapersView." localSheetId="2" hidden="1">[1]MASTER!#REF!</definedName>
    <definedName name="Cwvu.CapersView." localSheetId="3" hidden="1">[1]MASTER!#REF!</definedName>
    <definedName name="Cwvu.CapersView." localSheetId="4" hidden="1">[1]MASTER!#REF!</definedName>
    <definedName name="Cwvu.CapersView." localSheetId="6" hidden="1">[1]MASTER!#REF!</definedName>
    <definedName name="Cwvu.CapersView." hidden="1">[1]MASTER!#REF!</definedName>
    <definedName name="Cwvu.Japan_Capers_Ed_Pub." localSheetId="1" hidden="1">[1]MASTER!#REF!</definedName>
    <definedName name="Cwvu.Japan_Capers_Ed_Pub." localSheetId="2" hidden="1">[1]MASTER!#REF!</definedName>
    <definedName name="Cwvu.Japan_Capers_Ed_Pub." localSheetId="3" hidden="1">[1]MASTER!#REF!</definedName>
    <definedName name="Cwvu.Japan_Capers_Ed_Pub." localSheetId="4" hidden="1">[1]MASTER!#REF!</definedName>
    <definedName name="Cwvu.Japan_Capers_Ed_Pub." localSheetId="6" hidden="1">[1]MASTER!#REF!</definedName>
    <definedName name="Cwvu.Japan_Capers_Ed_Pub." hidden="1">[1]MASTER!#REF!</definedName>
    <definedName name="Cwvu.KJP_CC." localSheetId="1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2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3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4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6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localSheetId="6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1" hidden="1">[1]MASTER!#REF!</definedName>
    <definedName name="Swvu.CapersView." localSheetId="2" hidden="1">[1]MASTER!#REF!</definedName>
    <definedName name="Swvu.CapersView." localSheetId="3" hidden="1">[1]MASTER!#REF!</definedName>
    <definedName name="Swvu.CapersView." localSheetId="4" hidden="1">[1]MASTER!#REF!</definedName>
    <definedName name="Swvu.CapersView." localSheetId="6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localSheetId="6" hidden="1">{#N/A,#N/A,FALSE,"DI 2 YEAR MASTER SCHEDULE"}</definedName>
    <definedName name="wrn.CapersPlotter." hidden="1">{#N/A,#N/A,FALSE,"DI 2 YEAR MASTER SCHEDULE"}</definedName>
    <definedName name="wrn.Edutainment._.Priority._.List." localSheetId="6" hidden="1">{#N/A,#N/A,FALSE,"DI 2 YEAR MASTER SCHEDULE"}</definedName>
    <definedName name="wrn.Edutainment._.Priority._.List." hidden="1">{#N/A,#N/A,FALSE,"DI 2 YEAR MASTER SCHEDULE"}</definedName>
    <definedName name="wrn.Japan_Capers_Ed._.Pub." localSheetId="6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6" hidden="1">{#N/A,#N/A,FALSE,"DI 2 YEAR MASTER SCHEDULE"}</definedName>
    <definedName name="wrn.Priority._.list." hidden="1">{#N/A,#N/A,FALSE,"DI 2 YEAR MASTER SCHEDULE"}</definedName>
    <definedName name="wrn.Prjcted._.Mnthly._.Qtys." localSheetId="6" hidden="1">{#N/A,#N/A,FALSE,"PRJCTED MNTHLY QTY's"}</definedName>
    <definedName name="wrn.Prjcted._.Mnthly._.Qtys." hidden="1">{#N/A,#N/A,FALSE,"PRJCTED MNTHLY QTY's"}</definedName>
    <definedName name="wrn.Prjcted._.Qtrly._.Dollars." localSheetId="6" hidden="1">{#N/A,#N/A,FALSE,"PRJCTED QTRLY $'s"}</definedName>
    <definedName name="wrn.Prjcted._.Qtrly._.Dollars." hidden="1">{#N/A,#N/A,FALSE,"PRJCTED QTRLY $'s"}</definedName>
    <definedName name="wrn.Prjcted._.Qtrly._.Qtys." localSheetId="6" hidden="1">{#N/A,#N/A,FALSE,"PRJCTED QTRLY QTY's"}</definedName>
    <definedName name="wrn.Prjcted._.Qtrly._.Qtys." hidden="1">{#N/A,#N/A,FALSE,"PRJCTED QTRLY QTY's"}</definedName>
    <definedName name="wrn.QUARTERLY._.VIEW." localSheetId="6" hidden="1">{"QUARTERLY VIEW",#N/A,FALSE,"YEAR TOTAL"}</definedName>
    <definedName name="wrn.QUARTERLY._.VIEW." hidden="1">{"QUARTERLY VIEW",#N/A,FALSE,"YEAR TOTAL"}</definedName>
    <definedName name="wrn.YEAR._.VIEW." localSheetId="6" hidden="1">{#N/A,#N/A,FALSE,"YEAR TOTAL"}</definedName>
    <definedName name="wrn.YEAR._.VIEW." hidden="1">{#N/A,#N/A,FALSE,"YEAR TOTAL"}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localSheetId="4" hidden="1">{"программа",#N/A,TRUE,"lessons";"продажа оргтехники",#N/A,TRUE,"образец"}</definedName>
    <definedName name="wrn.отчет._.по._.курсу." localSheetId="5" hidden="1">{"программа",#N/A,TRUE,"lessons";"продажа оргтехники",#N/A,TRUE,"образец"}</definedName>
    <definedName name="wrn.отчет._.по._.курсу." localSheetId="6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localSheetId="6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1" hidden="1">[1]MASTER!#REF!,[1]MASTER!#REF!,[1]MASTER!#REF!,[1]MASTER!#REF!,[1]MASTER!#REF!,[1]MASTER!#REF!,[1]MASTER!#REF!,[1]MASTER!$A$98:$IV$272</definedName>
    <definedName name="Z_9A428CE1_B4D9_11D0_A8AA_0000C071AEE7_.wvu.Rows" localSheetId="2" hidden="1">[1]MASTER!#REF!,[1]MASTER!#REF!,[1]MASTER!#REF!,[1]MASTER!#REF!,[1]MASTER!#REF!,[1]MASTER!#REF!,[1]MASTER!#REF!,[1]MASTER!$A$98:$IV$272</definedName>
    <definedName name="Z_9A428CE1_B4D9_11D0_A8AA_0000C071AEE7_.wvu.Rows" localSheetId="3" hidden="1">[1]MASTER!#REF!,[1]MASTER!#REF!,[1]MASTER!#REF!,[1]MASTER!#REF!,[1]MASTER!#REF!,[1]MASTER!#REF!,[1]MASTER!#REF!,[1]MASTER!$A$98:$IV$272</definedName>
    <definedName name="Z_9A428CE1_B4D9_11D0_A8AA_0000C071AEE7_.wvu.Rows" localSheetId="4" hidden="1">[1]MASTER!#REF!,[1]MASTER!#REF!,[1]MASTER!#REF!,[1]MASTER!#REF!,[1]MASTER!#REF!,[1]MASTER!#REF!,[1]MASTER!#REF!,[1]MASTER!$A$98:$IV$272</definedName>
    <definedName name="Z_9A428CE1_B4D9_11D0_A8AA_0000C071AEE7_.wvu.Rows" localSheetId="6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з" localSheetId="6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6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localSheetId="6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D3" i="36" l="1"/>
  <c r="D4" i="36"/>
  <c r="D5" i="36"/>
  <c r="D6" i="36"/>
  <c r="D7" i="36"/>
  <c r="D8" i="36"/>
  <c r="D9" i="36"/>
  <c r="D10" i="36"/>
  <c r="D2" i="36"/>
  <c r="C3" i="36"/>
  <c r="C4" i="36"/>
  <c r="C5" i="36"/>
  <c r="C6" i="36"/>
  <c r="C7" i="36"/>
  <c r="C8" i="36"/>
  <c r="C9" i="36"/>
  <c r="C10" i="36"/>
  <c r="C2" i="36"/>
  <c r="B3" i="36"/>
  <c r="B4" i="36"/>
  <c r="B5" i="36"/>
  <c r="B6" i="36"/>
  <c r="B7" i="36"/>
  <c r="B8" i="36"/>
  <c r="B9" i="36"/>
  <c r="B10" i="36"/>
  <c r="B2" i="36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" i="38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" i="38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" i="37"/>
  <c r="C3" i="37"/>
  <c r="C4" i="37"/>
  <c r="C5" i="37"/>
  <c r="C6" i="37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" i="37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" i="35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" i="11"/>
</calcChain>
</file>

<file path=xl/sharedStrings.xml><?xml version="1.0" encoding="utf-8"?>
<sst xmlns="http://schemas.openxmlformats.org/spreadsheetml/2006/main" count="429" uniqueCount="205">
  <si>
    <t>Сергей</t>
  </si>
  <si>
    <t>Виктор</t>
  </si>
  <si>
    <t>Николаевич</t>
  </si>
  <si>
    <t>Олег</t>
  </si>
  <si>
    <t>Михайлович</t>
  </si>
  <si>
    <t>Дмитрий</t>
  </si>
  <si>
    <t>Петрович</t>
  </si>
  <si>
    <t>Васильевич</t>
  </si>
  <si>
    <t>Викторович</t>
  </si>
  <si>
    <t>Павел</t>
  </si>
  <si>
    <t>Фамилия Имя Отчество</t>
  </si>
  <si>
    <t>Фамилия И.О.</t>
  </si>
  <si>
    <t>Имя</t>
  </si>
  <si>
    <t>Фамилия</t>
  </si>
  <si>
    <t>Отчество</t>
  </si>
  <si>
    <t>Душечкин</t>
  </si>
  <si>
    <t>Ангелочкин</t>
  </si>
  <si>
    <t>Везунчиков</t>
  </si>
  <si>
    <t>Алексеевич</t>
  </si>
  <si>
    <t>Константин</t>
  </si>
  <si>
    <t>Кириллович</t>
  </si>
  <si>
    <t>Денис</t>
  </si>
  <si>
    <t>Давидович</t>
  </si>
  <si>
    <t>Никита</t>
  </si>
  <si>
    <t>Роман</t>
  </si>
  <si>
    <t>Русланович</t>
  </si>
  <si>
    <t>Харитон</t>
  </si>
  <si>
    <t>Харитонович</t>
  </si>
  <si>
    <t>Максим</t>
  </si>
  <si>
    <t>Удальцов</t>
  </si>
  <si>
    <t>Счастливцев</t>
  </si>
  <si>
    <t>Красавцев</t>
  </si>
  <si>
    <t>Добрецов</t>
  </si>
  <si>
    <t>Оптимистов</t>
  </si>
  <si>
    <t>Неунывающий</t>
  </si>
  <si>
    <t>Радостный</t>
  </si>
  <si>
    <t>Хороших</t>
  </si>
  <si>
    <t>Приятный</t>
  </si>
  <si>
    <t>Мирный</t>
  </si>
  <si>
    <t>Позитивов</t>
  </si>
  <si>
    <t>Праздникова</t>
  </si>
  <si>
    <t>Радостная</t>
  </si>
  <si>
    <t>Прекрасная</t>
  </si>
  <si>
    <t>Замечательная</t>
  </si>
  <si>
    <t>Зинаида</t>
  </si>
  <si>
    <t>Отличницева</t>
  </si>
  <si>
    <t>Ангелочкин Антон Алексеевич</t>
  </si>
  <si>
    <t>Везунчиков Виктор Васильевич</t>
  </si>
  <si>
    <t>Веселый Василий Викторович</t>
  </si>
  <si>
    <t>Добрейший Даниил Дмитриевич</t>
  </si>
  <si>
    <t>Добрецов Денис Давидович</t>
  </si>
  <si>
    <t>Душечкин Дмитрий Данилович</t>
  </si>
  <si>
    <t>Замечательная Зинаида Захаровна</t>
  </si>
  <si>
    <t>Красавцев Константин Кириллович</t>
  </si>
  <si>
    <t>Мирный Максим Михайлович</t>
  </si>
  <si>
    <t>Неунывающий Никита Николаевич</t>
  </si>
  <si>
    <t>Оптимистов Олег Осипович</t>
  </si>
  <si>
    <t>Отличницева Оксана Олеговна</t>
  </si>
  <si>
    <t>Позитивов Платон Петрович</t>
  </si>
  <si>
    <t>Праздникова Полина Павловна</t>
  </si>
  <si>
    <t>Прекрасная Пелагея Платоновна</t>
  </si>
  <si>
    <t>Приятный Павел Петрович</t>
  </si>
  <si>
    <t>Радостная Раиса Романовна</t>
  </si>
  <si>
    <t>Радостный Роман Русланович</t>
  </si>
  <si>
    <t>Счастливцев Сергей Семенович</t>
  </si>
  <si>
    <t>Толерантная Таисия Тихоновна</t>
  </si>
  <si>
    <t>Удальцов Устин Устинович</t>
  </si>
  <si>
    <t>Улыбочкина Ульяна Устиновна</t>
  </si>
  <si>
    <t>Хороших Харитон Харитонович</t>
  </si>
  <si>
    <t>Антон</t>
  </si>
  <si>
    <t>Веселый</t>
  </si>
  <si>
    <t>Василий</t>
  </si>
  <si>
    <t>Добрейший</t>
  </si>
  <si>
    <t>Даниил</t>
  </si>
  <si>
    <t>Дмитриевич</t>
  </si>
  <si>
    <t>Данилович</t>
  </si>
  <si>
    <t>Захаровна</t>
  </si>
  <si>
    <t>Осипович</t>
  </si>
  <si>
    <t>Оксана</t>
  </si>
  <si>
    <t>Олеговна</t>
  </si>
  <si>
    <t>Платон</t>
  </si>
  <si>
    <t>Полина</t>
  </si>
  <si>
    <t>Павловна</t>
  </si>
  <si>
    <t>Пелагея</t>
  </si>
  <si>
    <t>Платоновна</t>
  </si>
  <si>
    <t>Раиса</t>
  </si>
  <si>
    <t>Романовна</t>
  </si>
  <si>
    <t>Семенович</t>
  </si>
  <si>
    <t>Толерантная</t>
  </si>
  <si>
    <t>Таисия</t>
  </si>
  <si>
    <t>Тихоновна</t>
  </si>
  <si>
    <t>Устин</t>
  </si>
  <si>
    <t>Устинович</t>
  </si>
  <si>
    <t>Улыбочкина</t>
  </si>
  <si>
    <t>Ульяна</t>
  </si>
  <si>
    <t>Устиновна</t>
  </si>
  <si>
    <t xml:space="preserve">Ангелочкин    Антон     Алексеевич    </t>
  </si>
  <si>
    <t xml:space="preserve">       Везунчиков    Виктор Васильевич</t>
  </si>
  <si>
    <t xml:space="preserve">Веселый Василий Викторович     </t>
  </si>
  <si>
    <t xml:space="preserve"> Добрейший   Даниил Дмитриевич</t>
  </si>
  <si>
    <t xml:space="preserve">Добрецов Денис  Давидович   </t>
  </si>
  <si>
    <t xml:space="preserve">   Душечкин Дмитрий Данилович</t>
  </si>
  <si>
    <t>Красавцев    Константин Кириллович</t>
  </si>
  <si>
    <t>Мирный Максим     Михайлович</t>
  </si>
  <si>
    <t xml:space="preserve">  Неунывающий Никита Николаевич</t>
  </si>
  <si>
    <t xml:space="preserve">  Оптимистов Олег   Осипович</t>
  </si>
  <si>
    <t xml:space="preserve"> Отличницева  Оксана Олеговна</t>
  </si>
  <si>
    <t xml:space="preserve">  Позитивов   Платон   Петрович</t>
  </si>
  <si>
    <t>Прекрасная    Пелагея Платоновна</t>
  </si>
  <si>
    <t xml:space="preserve">    Приятный Павел Петрович</t>
  </si>
  <si>
    <t xml:space="preserve"> Праздникова   Полина    Павловна</t>
  </si>
  <si>
    <t>Радостная   Раиса Романовна</t>
  </si>
  <si>
    <t>Радостный Роман              Русланович</t>
  </si>
  <si>
    <t xml:space="preserve">  Счастливцев   Сергей   Семенович</t>
  </si>
  <si>
    <t xml:space="preserve">     Толерантная Таисия Тихоновна</t>
  </si>
  <si>
    <t xml:space="preserve">  Удальцов      Устин Устинович</t>
  </si>
  <si>
    <t>Улыбочкина    Ульяна Устиновна</t>
  </si>
  <si>
    <t xml:space="preserve"> Хороших  Харитон  Харитонович </t>
  </si>
  <si>
    <t>Исходные данные</t>
  </si>
  <si>
    <t>Исходная строка</t>
  </si>
  <si>
    <t>111#101</t>
  </si>
  <si>
    <t>44#4404</t>
  </si>
  <si>
    <t>66660#6</t>
  </si>
  <si>
    <t>8088#88</t>
  </si>
  <si>
    <t>Позиция #</t>
  </si>
  <si>
    <t>Символы до #</t>
  </si>
  <si>
    <t>Символы после #</t>
  </si>
  <si>
    <t>5#505555</t>
  </si>
  <si>
    <t>777#77777</t>
  </si>
  <si>
    <t>909#909999</t>
  </si>
  <si>
    <t>3303#333</t>
  </si>
  <si>
    <t>202#20</t>
  </si>
  <si>
    <t>ангелочкин АНТОН Алексеевич</t>
  </si>
  <si>
    <t>везунчиков ВИКТОР Васильевич</t>
  </si>
  <si>
    <t>веселый ВАСИЛИЙ Викторович</t>
  </si>
  <si>
    <t>добрейший ДАНИИЛ Дмитриевич</t>
  </si>
  <si>
    <t>добрецов ДЕНИС Давидович</t>
  </si>
  <si>
    <t>душечкин ДМИТРИЙ Данилович</t>
  </si>
  <si>
    <t>замечательная ЗИНАИДА Захаровна</t>
  </si>
  <si>
    <t>красавцев КОНСТАНТИН Кириллович</t>
  </si>
  <si>
    <t>мирный МАКСИМ Михайлович</t>
  </si>
  <si>
    <t>неунывающий НИКИТА Николаевич</t>
  </si>
  <si>
    <t>оптимистов ОЛЕГ Осипович</t>
  </si>
  <si>
    <t>отличницева ОКСАНА Олеговна</t>
  </si>
  <si>
    <t>позитивов ПЛАТОН Петрович</t>
  </si>
  <si>
    <t>праздникова ПОЛИНА Павловна</t>
  </si>
  <si>
    <t>прекрасная ПЕЛАГЕЯ Платоновна</t>
  </si>
  <si>
    <t>приятный ПАВЕЛ Петрович</t>
  </si>
  <si>
    <t>радостная РАИСА Романовна</t>
  </si>
  <si>
    <t>радостный РОМАН Русланович</t>
  </si>
  <si>
    <t>счастливцев СЕРГЕЙ Семенович</t>
  </si>
  <si>
    <t>толерантная ТАИСИЯ Тихоновна</t>
  </si>
  <si>
    <t>удальцов УСТИН Устинович</t>
  </si>
  <si>
    <t>улыбочкина УЛЬЯНА Устиновна</t>
  </si>
  <si>
    <t>хороших ХАРИТОН Харитонович</t>
  </si>
  <si>
    <t>ФАМИЛИЯ ИМЯ ОТЧЕСТВО</t>
  </si>
  <si>
    <t>фамилия имя отчество</t>
  </si>
  <si>
    <t>ФАМИЛИЯ И.О.</t>
  </si>
  <si>
    <t>Первая буква фамилии</t>
  </si>
  <si>
    <t>Ангелочкин А.А.</t>
  </si>
  <si>
    <t>Везунчиков В.В.</t>
  </si>
  <si>
    <t>Веселый В.В.</t>
  </si>
  <si>
    <t>Добрейший Д.Д.</t>
  </si>
  <si>
    <t>Добрецов Д.Д.</t>
  </si>
  <si>
    <t>Душечкин Д.Д.</t>
  </si>
  <si>
    <t>Замечательная З.З.</t>
  </si>
  <si>
    <t>Красавцев К.К.</t>
  </si>
  <si>
    <t>Мирный М.М.</t>
  </si>
  <si>
    <t>Неунывающий Н.Н.</t>
  </si>
  <si>
    <t>Оптимистов О.О.</t>
  </si>
  <si>
    <t>Отличницева О.О.</t>
  </si>
  <si>
    <t>Позитивов П.П.</t>
  </si>
  <si>
    <t>Праздникова П.П.</t>
  </si>
  <si>
    <t>Прекрасная П.П.</t>
  </si>
  <si>
    <t>Приятный П.П.</t>
  </si>
  <si>
    <t>Радостная Р.Р.</t>
  </si>
  <si>
    <t>Радостный Р.Р.</t>
  </si>
  <si>
    <t>Счастливцев С.С.</t>
  </si>
  <si>
    <t>Толерантная Т.Т.</t>
  </si>
  <si>
    <t>Удальцов У.У.</t>
  </si>
  <si>
    <t>Улыбочкина У.У.</t>
  </si>
  <si>
    <t>Хороших Х.Х.</t>
  </si>
  <si>
    <t>Ангелочкин Антон А.</t>
  </si>
  <si>
    <t>Везунчиков Виктор В.</t>
  </si>
  <si>
    <t>Веселый Василий В.</t>
  </si>
  <si>
    <t>Добрейший Даниил Д.</t>
  </si>
  <si>
    <t>Добрецов Денис Д.</t>
  </si>
  <si>
    <t>Душечкин Дмитрий Д.</t>
  </si>
  <si>
    <t>Замечательная Зинаида З.</t>
  </si>
  <si>
    <t>Красавцев Константин К.</t>
  </si>
  <si>
    <t>Мирный Максим М.</t>
  </si>
  <si>
    <t>Неунывающий Никита Н.</t>
  </si>
  <si>
    <t>Оптимистов Олег О.</t>
  </si>
  <si>
    <t>Отличницева Оксана О.</t>
  </si>
  <si>
    <t>Позитивов Платон П.</t>
  </si>
  <si>
    <t>Праздникова Полина П.</t>
  </si>
  <si>
    <t>Прекрасная Пелагея П.</t>
  </si>
  <si>
    <t>Приятный Павел П.</t>
  </si>
  <si>
    <t>Радостная Раиса Р.</t>
  </si>
  <si>
    <t>Радостный Роман Р.</t>
  </si>
  <si>
    <t>Счастливцев Сергей С.</t>
  </si>
  <si>
    <t>Толерантная Таисия Т.</t>
  </si>
  <si>
    <t>Удальцов Устин У.</t>
  </si>
  <si>
    <t>Улыбочкина Ульяна У.</t>
  </si>
  <si>
    <t>Хороших Харитон 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</si>
</sst>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</numFmts>
  <fonts count="12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8"/>
      <name val="MS Sans Serif"/>
      <family val="2"/>
      <charset val="204"/>
    </font>
    <font>
      <sz val="10"/>
      <name val="Arial Cyr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</borders>
  <cellStyleXfs count="2158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5" fillId="0" borderId="0"/>
    <xf numFmtId="0" fontId="6" fillId="0" borderId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>
      <alignment vertical="justify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0" fillId="0" borderId="0" xfId="2149" applyFont="1"/>
    <xf numFmtId="1" fontId="11" fillId="2" borderId="2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1" fontId="10" fillId="0" borderId="1" xfId="0" applyNumberFormat="1" applyFont="1" applyBorder="1"/>
    <xf numFmtId="0" fontId="10" fillId="0" borderId="1" xfId="0" applyFont="1" applyBorder="1"/>
    <xf numFmtId="1" fontId="10" fillId="0" borderId="0" xfId="0" applyNumberFormat="1" applyFont="1"/>
  </cellXfs>
  <cellStyles count="2158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Currency0" xfId="2146"/>
    <cellStyle name="Euro" xfId="2147"/>
    <cellStyle name="Normal1" xfId="2148"/>
    <cellStyle name="Денежный [0] 2" xfId="2154"/>
    <cellStyle name="Денежный 2" xfId="2155"/>
    <cellStyle name="Обычный" xfId="0" builtinId="0"/>
    <cellStyle name="Обычный 2" xfId="2156"/>
    <cellStyle name="Обычный_~Список сотрудников" xfId="2149"/>
    <cellStyle name="Процентный 2" xfId="2157"/>
    <cellStyle name="Стиль 1" xfId="2150"/>
    <cellStyle name="Стиль_названий" xfId="2153"/>
    <cellStyle name="Тысячи [0]_Лист1" xfId="2151"/>
    <cellStyle name="Тысячи_Лист1" xfId="2152"/>
  </cellStyles>
  <dxfs count="0"/>
  <tableStyles count="0" defaultTableStyle="TableStyleMedium9" defaultPivotStyle="PivotStyleLight16"/>
  <colors>
    <mruColors>
      <color rgb="FF2A0264"/>
      <color rgb="FF000066"/>
      <color rgb="FFFF0000"/>
      <color rgb="FFFEF1E6"/>
      <color rgb="FFFF66CC"/>
      <color rgb="FFFFCCCC"/>
      <color rgb="FFFFCCFF"/>
      <color rgb="FFFFCC99"/>
      <color rgb="FF6666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2</xdr:row>
      <xdr:rowOff>104776</xdr:rowOff>
    </xdr:from>
    <xdr:to>
      <xdr:col>9</xdr:col>
      <xdr:colOff>152400</xdr:colOff>
      <xdr:row>9</xdr:row>
      <xdr:rowOff>171451</xdr:rowOff>
    </xdr:to>
    <xdr:sp macro="" textlink="">
      <xdr:nvSpPr>
        <xdr:cNvPr id="3" name="Загнутый угол 2"/>
        <xdr:cNvSpPr/>
      </xdr:nvSpPr>
      <xdr:spPr>
        <a:xfrm>
          <a:off x="6657975" y="523876"/>
          <a:ext cx="3962400" cy="13335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бъединить данные столбцов Фамилия, Имя и Отчество в одну текстовую строк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Фамилия Имя Отчество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в столбце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используя функцию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СЦЕПИТЬ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в столбце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используя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&amp;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4</xdr:row>
      <xdr:rowOff>104775</xdr:rowOff>
    </xdr:from>
    <xdr:to>
      <xdr:col>8</xdr:col>
      <xdr:colOff>447675</xdr:colOff>
      <xdr:row>11</xdr:row>
      <xdr:rowOff>171450</xdr:rowOff>
    </xdr:to>
    <xdr:sp macro="" textlink="">
      <xdr:nvSpPr>
        <xdr:cNvPr id="3" name="Загнутый угол 2"/>
        <xdr:cNvSpPr/>
      </xdr:nvSpPr>
      <xdr:spPr>
        <a:xfrm>
          <a:off x="5400675" y="904875"/>
          <a:ext cx="3962400" cy="13335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Исходные данные содержат много лишних пробелов.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ячейках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В2:В24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получить результат удаления лишних пробелов из исходной строки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А2:А24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390524</xdr:colOff>
      <xdr:row>12</xdr:row>
      <xdr:rowOff>180974</xdr:rowOff>
    </xdr:from>
    <xdr:to>
      <xdr:col>2</xdr:col>
      <xdr:colOff>523875</xdr:colOff>
      <xdr:row>20</xdr:row>
      <xdr:rowOff>123825</xdr:rowOff>
    </xdr:to>
    <xdr:sp macro="" textlink="">
      <xdr:nvSpPr>
        <xdr:cNvPr id="3" name="Загнутый угол 2"/>
        <xdr:cNvSpPr/>
      </xdr:nvSpPr>
      <xdr:spPr>
        <a:xfrm>
          <a:off x="390524" y="2409824"/>
          <a:ext cx="5372101" cy="139065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 исходным данным в ячейках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А2:А24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изменить регистр: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в ячейках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В2:В24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преобразовать так, чтобы все буквы были прописными.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в ячейках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С2:С24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преобразовать все в строчные буквы.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в ячейках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D2:D24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преобразовать так, чтобы первая буква в каждом слове была прописной, а последующие – строчными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123824</xdr:colOff>
      <xdr:row>2</xdr:row>
      <xdr:rowOff>104776</xdr:rowOff>
    </xdr:from>
    <xdr:to>
      <xdr:col>10</xdr:col>
      <xdr:colOff>314324</xdr:colOff>
      <xdr:row>9</xdr:row>
      <xdr:rowOff>19050</xdr:rowOff>
    </xdr:to>
    <xdr:sp macro="" textlink="">
      <xdr:nvSpPr>
        <xdr:cNvPr id="2" name="Загнутый угол 1"/>
        <xdr:cNvSpPr/>
      </xdr:nvSpPr>
      <xdr:spPr>
        <a:xfrm>
          <a:off x="6657974" y="523876"/>
          <a:ext cx="4733925" cy="1181099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определить первую букву фамилии сотрудника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олучить 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данные вида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Фамилия И.О.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10</xdr:row>
      <xdr:rowOff>76199</xdr:rowOff>
    </xdr:from>
    <xdr:to>
      <xdr:col>5</xdr:col>
      <xdr:colOff>476251</xdr:colOff>
      <xdr:row>21</xdr:row>
      <xdr:rowOff>161925</xdr:rowOff>
    </xdr:to>
    <xdr:sp macro="" textlink="">
      <xdr:nvSpPr>
        <xdr:cNvPr id="2" name="Загнутый угол 1"/>
        <xdr:cNvSpPr/>
      </xdr:nvSpPr>
      <xdr:spPr>
        <a:xfrm>
          <a:off x="514350" y="1962149"/>
          <a:ext cx="5210176" cy="207645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позицую символа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#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олучить 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C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забрать из исходной строки символы до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#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используя в расчетах значение позиции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#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ячейках столба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определить символы после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#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используя позицию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#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и длину исходной строки.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реобразовать полученные текстовые данные в числовые.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</xdr:row>
      <xdr:rowOff>142875</xdr:rowOff>
    </xdr:from>
    <xdr:to>
      <xdr:col>11</xdr:col>
      <xdr:colOff>9525</xdr:colOff>
      <xdr:row>8</xdr:row>
      <xdr:rowOff>19050</xdr:rowOff>
    </xdr:to>
    <xdr:sp macro="" textlink="">
      <xdr:nvSpPr>
        <xdr:cNvPr id="3" name="Загнутый угол 2"/>
        <xdr:cNvSpPr/>
      </xdr:nvSpPr>
      <xdr:spPr>
        <a:xfrm>
          <a:off x="7324725" y="514350"/>
          <a:ext cx="3990975" cy="9620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азбить данные столбца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Фамилия Имя Отчество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 составляющие с помощью команды "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Текст по столбцам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"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9</xdr:col>
      <xdr:colOff>57150</xdr:colOff>
      <xdr:row>8</xdr:row>
      <xdr:rowOff>57150</xdr:rowOff>
    </xdr:to>
    <xdr:sp macro="" textlink="">
      <xdr:nvSpPr>
        <xdr:cNvPr id="2" name="Загнутый угол 2"/>
        <xdr:cNvSpPr/>
      </xdr:nvSpPr>
      <xdr:spPr>
        <a:xfrm>
          <a:off x="7496175" y="600075"/>
          <a:ext cx="3990975" cy="9620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олучить данные столбца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Фамилия Имя Отчество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ФАМИЛИЯ И.О.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с помощью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"Мгновенного заполнения"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APERS/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24"/>
  <sheetViews>
    <sheetView showGridLines="0" workbookViewId="0">
      <selection activeCell="E2" sqref="E2:E24"/>
    </sheetView>
  </sheetViews>
  <sheetFormatPr defaultRowHeight="14.25" x14ac:dyDescent="0.2"/>
  <cols>
    <col min="1" max="1" width="18.28515625" style="7" bestFit="1" customWidth="1"/>
    <col min="2" max="2" width="12.28515625" style="7" bestFit="1" customWidth="1"/>
    <col min="3" max="3" width="13.7109375" style="7" bestFit="1" customWidth="1"/>
    <col min="4" max="5" width="30.42578125" style="4" customWidth="1"/>
    <col min="6" max="6" width="9.140625" style="4"/>
    <col min="7" max="7" width="24.7109375" style="4" customWidth="1"/>
    <col min="8" max="8" width="13.42578125" style="4" customWidth="1"/>
    <col min="9" max="9" width="11.7109375" style="4" customWidth="1"/>
    <col min="10" max="16384" width="9.140625" style="4"/>
  </cols>
  <sheetData>
    <row r="1" spans="1:5" ht="18.75" customHeight="1" x14ac:dyDescent="0.2">
      <c r="A1" s="2" t="s">
        <v>13</v>
      </c>
      <c r="B1" s="2" t="s">
        <v>12</v>
      </c>
      <c r="C1" s="2" t="s">
        <v>14</v>
      </c>
      <c r="D1" s="3" t="s">
        <v>10</v>
      </c>
      <c r="E1" s="3" t="s">
        <v>10</v>
      </c>
    </row>
    <row r="2" spans="1:5" x14ac:dyDescent="0.2">
      <c r="A2" s="5" t="s">
        <v>16</v>
      </c>
      <c r="B2" s="5" t="s">
        <v>69</v>
      </c>
      <c r="C2" s="5" t="s">
        <v>18</v>
      </c>
      <c r="D2" s="5" t="str">
        <f>CONCATENATE(A2," ",B2," ",C2)</f>
        <v>Ангелочкин Антон Алексеевич</v>
      </c>
      <c r="E2" s="5" t="str">
        <f>A2&amp;" "&amp;B2&amp;" "&amp;C2</f>
        <v>Ангелочкин Антон Алексеевич</v>
      </c>
    </row>
    <row r="3" spans="1:5" x14ac:dyDescent="0.2">
      <c r="A3" s="5" t="s">
        <v>17</v>
      </c>
      <c r="B3" s="5" t="s">
        <v>1</v>
      </c>
      <c r="C3" s="5" t="s">
        <v>7</v>
      </c>
      <c r="D3" s="5" t="str">
        <f t="shared" ref="D3:D24" si="0">CONCATENATE(A3," ",B3," ",C3)</f>
        <v>Везунчиков Виктор Васильевич</v>
      </c>
      <c r="E3" s="5" t="str">
        <f t="shared" ref="E3:E24" si="1">A3&amp;" "&amp;B3&amp;" "&amp;C3</f>
        <v>Везунчиков Виктор Васильевич</v>
      </c>
    </row>
    <row r="4" spans="1:5" x14ac:dyDescent="0.2">
      <c r="A4" s="5" t="s">
        <v>70</v>
      </c>
      <c r="B4" s="5" t="s">
        <v>71</v>
      </c>
      <c r="C4" s="5" t="s">
        <v>8</v>
      </c>
      <c r="D4" s="5" t="str">
        <f t="shared" si="0"/>
        <v>Веселый Василий Викторович</v>
      </c>
      <c r="E4" s="5" t="str">
        <f t="shared" si="1"/>
        <v>Веселый Василий Викторович</v>
      </c>
    </row>
    <row r="5" spans="1:5" x14ac:dyDescent="0.2">
      <c r="A5" s="5" t="s">
        <v>72</v>
      </c>
      <c r="B5" s="5" t="s">
        <v>73</v>
      </c>
      <c r="C5" s="5" t="s">
        <v>74</v>
      </c>
      <c r="D5" s="5" t="str">
        <f t="shared" si="0"/>
        <v>Добрейший Даниил Дмитриевич</v>
      </c>
      <c r="E5" s="5" t="str">
        <f t="shared" si="1"/>
        <v>Добрейший Даниил Дмитриевич</v>
      </c>
    </row>
    <row r="6" spans="1:5" x14ac:dyDescent="0.2">
      <c r="A6" s="5" t="s">
        <v>32</v>
      </c>
      <c r="B6" s="5" t="s">
        <v>21</v>
      </c>
      <c r="C6" s="5" t="s">
        <v>22</v>
      </c>
      <c r="D6" s="5" t="str">
        <f t="shared" si="0"/>
        <v>Добрецов Денис Давидович</v>
      </c>
      <c r="E6" s="5" t="str">
        <f t="shared" si="1"/>
        <v>Добрецов Денис Давидович</v>
      </c>
    </row>
    <row r="7" spans="1:5" x14ac:dyDescent="0.2">
      <c r="A7" s="5" t="s">
        <v>15</v>
      </c>
      <c r="B7" s="5" t="s">
        <v>5</v>
      </c>
      <c r="C7" s="5" t="s">
        <v>75</v>
      </c>
      <c r="D7" s="5" t="str">
        <f t="shared" si="0"/>
        <v>Душечкин Дмитрий Данилович</v>
      </c>
      <c r="E7" s="5" t="str">
        <f t="shared" si="1"/>
        <v>Душечкин Дмитрий Данилович</v>
      </c>
    </row>
    <row r="8" spans="1:5" x14ac:dyDescent="0.2">
      <c r="A8" s="5" t="s">
        <v>43</v>
      </c>
      <c r="B8" s="5" t="s">
        <v>44</v>
      </c>
      <c r="C8" s="5" t="s">
        <v>76</v>
      </c>
      <c r="D8" s="5" t="str">
        <f t="shared" si="0"/>
        <v>Замечательная Зинаида Захаровна</v>
      </c>
      <c r="E8" s="5" t="str">
        <f t="shared" si="1"/>
        <v>Замечательная Зинаида Захаровна</v>
      </c>
    </row>
    <row r="9" spans="1:5" x14ac:dyDescent="0.2">
      <c r="A9" s="5" t="s">
        <v>31</v>
      </c>
      <c r="B9" s="5" t="s">
        <v>19</v>
      </c>
      <c r="C9" s="5" t="s">
        <v>20</v>
      </c>
      <c r="D9" s="5" t="str">
        <f t="shared" si="0"/>
        <v>Красавцев Константин Кириллович</v>
      </c>
      <c r="E9" s="5" t="str">
        <f t="shared" si="1"/>
        <v>Красавцев Константин Кириллович</v>
      </c>
    </row>
    <row r="10" spans="1:5" x14ac:dyDescent="0.2">
      <c r="A10" s="5" t="s">
        <v>38</v>
      </c>
      <c r="B10" s="5" t="s">
        <v>28</v>
      </c>
      <c r="C10" s="5" t="s">
        <v>4</v>
      </c>
      <c r="D10" s="5" t="str">
        <f t="shared" si="0"/>
        <v>Мирный Максим Михайлович</v>
      </c>
      <c r="E10" s="5" t="str">
        <f t="shared" si="1"/>
        <v>Мирный Максим Михайлович</v>
      </c>
    </row>
    <row r="11" spans="1:5" x14ac:dyDescent="0.2">
      <c r="A11" s="5" t="s">
        <v>34</v>
      </c>
      <c r="B11" s="5" t="s">
        <v>23</v>
      </c>
      <c r="C11" s="5" t="s">
        <v>2</v>
      </c>
      <c r="D11" s="5" t="str">
        <f t="shared" si="0"/>
        <v>Неунывающий Никита Николаевич</v>
      </c>
      <c r="E11" s="5" t="str">
        <f t="shared" si="1"/>
        <v>Неунывающий Никита Николаевич</v>
      </c>
    </row>
    <row r="12" spans="1:5" x14ac:dyDescent="0.2">
      <c r="A12" s="5" t="s">
        <v>33</v>
      </c>
      <c r="B12" s="5" t="s">
        <v>3</v>
      </c>
      <c r="C12" s="5" t="s">
        <v>77</v>
      </c>
      <c r="D12" s="5" t="str">
        <f t="shared" si="0"/>
        <v>Оптимистов Олег Осипович</v>
      </c>
      <c r="E12" s="5" t="str">
        <f t="shared" si="1"/>
        <v>Оптимистов Олег Осипович</v>
      </c>
    </row>
    <row r="13" spans="1:5" x14ac:dyDescent="0.2">
      <c r="A13" s="5" t="s">
        <v>45</v>
      </c>
      <c r="B13" s="5" t="s">
        <v>78</v>
      </c>
      <c r="C13" s="5" t="s">
        <v>79</v>
      </c>
      <c r="D13" s="5" t="str">
        <f t="shared" si="0"/>
        <v>Отличницева Оксана Олеговна</v>
      </c>
      <c r="E13" s="5" t="str">
        <f t="shared" si="1"/>
        <v>Отличницева Оксана Олеговна</v>
      </c>
    </row>
    <row r="14" spans="1:5" x14ac:dyDescent="0.2">
      <c r="A14" s="5" t="s">
        <v>39</v>
      </c>
      <c r="B14" s="5" t="s">
        <v>80</v>
      </c>
      <c r="C14" s="5" t="s">
        <v>6</v>
      </c>
      <c r="D14" s="5" t="str">
        <f t="shared" si="0"/>
        <v>Позитивов Платон Петрович</v>
      </c>
      <c r="E14" s="5" t="str">
        <f t="shared" si="1"/>
        <v>Позитивов Платон Петрович</v>
      </c>
    </row>
    <row r="15" spans="1:5" x14ac:dyDescent="0.2">
      <c r="A15" s="5" t="s">
        <v>40</v>
      </c>
      <c r="B15" s="5" t="s">
        <v>81</v>
      </c>
      <c r="C15" s="5" t="s">
        <v>82</v>
      </c>
      <c r="D15" s="5" t="str">
        <f t="shared" si="0"/>
        <v>Праздникова Полина Павловна</v>
      </c>
      <c r="E15" s="5" t="str">
        <f t="shared" si="1"/>
        <v>Праздникова Полина Павловна</v>
      </c>
    </row>
    <row r="16" spans="1:5" x14ac:dyDescent="0.2">
      <c r="A16" s="5" t="s">
        <v>42</v>
      </c>
      <c r="B16" s="5" t="s">
        <v>83</v>
      </c>
      <c r="C16" s="5" t="s">
        <v>84</v>
      </c>
      <c r="D16" s="5" t="str">
        <f t="shared" si="0"/>
        <v>Прекрасная Пелагея Платоновна</v>
      </c>
      <c r="E16" s="5" t="str">
        <f t="shared" si="1"/>
        <v>Прекрасная Пелагея Платоновна</v>
      </c>
    </row>
    <row r="17" spans="1:5" x14ac:dyDescent="0.2">
      <c r="A17" s="5" t="s">
        <v>37</v>
      </c>
      <c r="B17" s="5" t="s">
        <v>9</v>
      </c>
      <c r="C17" s="5" t="s">
        <v>6</v>
      </c>
      <c r="D17" s="5" t="str">
        <f t="shared" si="0"/>
        <v>Приятный Павел Петрович</v>
      </c>
      <c r="E17" s="5" t="str">
        <f t="shared" si="1"/>
        <v>Приятный Павел Петрович</v>
      </c>
    </row>
    <row r="18" spans="1:5" x14ac:dyDescent="0.2">
      <c r="A18" s="5" t="s">
        <v>41</v>
      </c>
      <c r="B18" s="5" t="s">
        <v>85</v>
      </c>
      <c r="C18" s="5" t="s">
        <v>86</v>
      </c>
      <c r="D18" s="5" t="str">
        <f t="shared" si="0"/>
        <v>Радостная Раиса Романовна</v>
      </c>
      <c r="E18" s="5" t="str">
        <f t="shared" si="1"/>
        <v>Радостная Раиса Романовна</v>
      </c>
    </row>
    <row r="19" spans="1:5" x14ac:dyDescent="0.2">
      <c r="A19" s="5" t="s">
        <v>35</v>
      </c>
      <c r="B19" s="5" t="s">
        <v>24</v>
      </c>
      <c r="C19" s="5" t="s">
        <v>25</v>
      </c>
      <c r="D19" s="5" t="str">
        <f t="shared" si="0"/>
        <v>Радостный Роман Русланович</v>
      </c>
      <c r="E19" s="5" t="str">
        <f t="shared" si="1"/>
        <v>Радостный Роман Русланович</v>
      </c>
    </row>
    <row r="20" spans="1:5" x14ac:dyDescent="0.2">
      <c r="A20" s="5" t="s">
        <v>30</v>
      </c>
      <c r="B20" s="5" t="s">
        <v>0</v>
      </c>
      <c r="C20" s="5" t="s">
        <v>87</v>
      </c>
      <c r="D20" s="5" t="str">
        <f t="shared" si="0"/>
        <v>Счастливцев Сергей Семенович</v>
      </c>
      <c r="E20" s="5" t="str">
        <f t="shared" si="1"/>
        <v>Счастливцев Сергей Семенович</v>
      </c>
    </row>
    <row r="21" spans="1:5" x14ac:dyDescent="0.2">
      <c r="A21" s="5" t="s">
        <v>88</v>
      </c>
      <c r="B21" s="5" t="s">
        <v>89</v>
      </c>
      <c r="C21" s="5" t="s">
        <v>90</v>
      </c>
      <c r="D21" s="5" t="str">
        <f t="shared" si="0"/>
        <v>Толерантная Таисия Тихоновна</v>
      </c>
      <c r="E21" s="5" t="str">
        <f t="shared" si="1"/>
        <v>Толерантная Таисия Тихоновна</v>
      </c>
    </row>
    <row r="22" spans="1:5" x14ac:dyDescent="0.2">
      <c r="A22" s="5" t="s">
        <v>29</v>
      </c>
      <c r="B22" s="5" t="s">
        <v>91</v>
      </c>
      <c r="C22" s="5" t="s">
        <v>92</v>
      </c>
      <c r="D22" s="5" t="str">
        <f t="shared" si="0"/>
        <v>Удальцов Устин Устинович</v>
      </c>
      <c r="E22" s="5" t="str">
        <f t="shared" si="1"/>
        <v>Удальцов Устин Устинович</v>
      </c>
    </row>
    <row r="23" spans="1:5" x14ac:dyDescent="0.2">
      <c r="A23" s="5" t="s">
        <v>93</v>
      </c>
      <c r="B23" s="5" t="s">
        <v>94</v>
      </c>
      <c r="C23" s="5" t="s">
        <v>95</v>
      </c>
      <c r="D23" s="5" t="str">
        <f t="shared" si="0"/>
        <v>Улыбочкина Ульяна Устиновна</v>
      </c>
      <c r="E23" s="5" t="str">
        <f t="shared" si="1"/>
        <v>Улыбочкина Ульяна Устиновна</v>
      </c>
    </row>
    <row r="24" spans="1:5" x14ac:dyDescent="0.2">
      <c r="A24" s="5" t="s">
        <v>36</v>
      </c>
      <c r="B24" s="5" t="s">
        <v>26</v>
      </c>
      <c r="C24" s="5" t="s">
        <v>27</v>
      </c>
      <c r="D24" s="5" t="str">
        <f t="shared" si="0"/>
        <v>Хороших Харитон Харитонович</v>
      </c>
      <c r="E24" s="5" t="str">
        <f t="shared" si="1"/>
        <v>Хороших Харитон Харитонович</v>
      </c>
    </row>
  </sheetData>
  <sortState ref="A4:I21">
    <sortCondition ref="A4:A21"/>
  </sortState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24"/>
  <sheetViews>
    <sheetView showGridLines="0" workbookViewId="0">
      <selection activeCell="B2" sqref="B2:B24"/>
    </sheetView>
  </sheetViews>
  <sheetFormatPr defaultRowHeight="14.25" x14ac:dyDescent="0.2"/>
  <cols>
    <col min="1" max="1" width="39.42578125" style="1" bestFit="1" customWidth="1"/>
    <col min="2" max="2" width="39.42578125" style="1" customWidth="1"/>
    <col min="3" max="16384" width="9.140625" style="1"/>
  </cols>
  <sheetData>
    <row r="1" spans="1:2" ht="20.25" customHeight="1" x14ac:dyDescent="0.2">
      <c r="A1" s="2" t="s">
        <v>119</v>
      </c>
      <c r="B1" s="2" t="s">
        <v>10</v>
      </c>
    </row>
    <row r="2" spans="1:2" x14ac:dyDescent="0.2">
      <c r="A2" s="5" t="s">
        <v>96</v>
      </c>
      <c r="B2" s="5" t="str">
        <f>TRIM(A2)</f>
        <v>Ангелочкин Антон Алексеевич</v>
      </c>
    </row>
    <row r="3" spans="1:2" x14ac:dyDescent="0.2">
      <c r="A3" s="5" t="s">
        <v>97</v>
      </c>
      <c r="B3" s="5" t="str">
        <f t="shared" ref="B3:B24" si="0">TRIM(A3)</f>
        <v>Везунчиков Виктор Васильевич</v>
      </c>
    </row>
    <row r="4" spans="1:2" x14ac:dyDescent="0.2">
      <c r="A4" s="5" t="s">
        <v>98</v>
      </c>
      <c r="B4" s="5" t="str">
        <f t="shared" si="0"/>
        <v>Веселый Василий Викторович</v>
      </c>
    </row>
    <row r="5" spans="1:2" x14ac:dyDescent="0.2">
      <c r="A5" s="5" t="s">
        <v>99</v>
      </c>
      <c r="B5" s="5" t="str">
        <f t="shared" si="0"/>
        <v>Добрейший Даниил Дмитриевич</v>
      </c>
    </row>
    <row r="6" spans="1:2" x14ac:dyDescent="0.2">
      <c r="A6" s="5" t="s">
        <v>100</v>
      </c>
      <c r="B6" s="5" t="str">
        <f t="shared" si="0"/>
        <v>Добрецов Денис Давидович</v>
      </c>
    </row>
    <row r="7" spans="1:2" x14ac:dyDescent="0.2">
      <c r="A7" s="5" t="s">
        <v>101</v>
      </c>
      <c r="B7" s="5" t="str">
        <f t="shared" si="0"/>
        <v>Душечкин Дмитрий Данилович</v>
      </c>
    </row>
    <row r="8" spans="1:2" x14ac:dyDescent="0.2">
      <c r="A8" s="5" t="s">
        <v>52</v>
      </c>
      <c r="B8" s="5" t="str">
        <f t="shared" si="0"/>
        <v>Замечательная Зинаида Захаровна</v>
      </c>
    </row>
    <row r="9" spans="1:2" x14ac:dyDescent="0.2">
      <c r="A9" s="5" t="s">
        <v>102</v>
      </c>
      <c r="B9" s="5" t="str">
        <f t="shared" si="0"/>
        <v>Красавцев Константин Кириллович</v>
      </c>
    </row>
    <row r="10" spans="1:2" x14ac:dyDescent="0.2">
      <c r="A10" s="5" t="s">
        <v>103</v>
      </c>
      <c r="B10" s="5" t="str">
        <f t="shared" si="0"/>
        <v>Мирный Максим Михайлович</v>
      </c>
    </row>
    <row r="11" spans="1:2" x14ac:dyDescent="0.2">
      <c r="A11" s="5" t="s">
        <v>104</v>
      </c>
      <c r="B11" s="5" t="str">
        <f t="shared" si="0"/>
        <v>Неунывающий Никита Николаевич</v>
      </c>
    </row>
    <row r="12" spans="1:2" x14ac:dyDescent="0.2">
      <c r="A12" s="5" t="s">
        <v>105</v>
      </c>
      <c r="B12" s="5" t="str">
        <f t="shared" si="0"/>
        <v>Оптимистов Олег Осипович</v>
      </c>
    </row>
    <row r="13" spans="1:2" x14ac:dyDescent="0.2">
      <c r="A13" s="5" t="s">
        <v>106</v>
      </c>
      <c r="B13" s="5" t="str">
        <f t="shared" si="0"/>
        <v>Отличницева Оксана Олеговна</v>
      </c>
    </row>
    <row r="14" spans="1:2" x14ac:dyDescent="0.2">
      <c r="A14" s="5" t="s">
        <v>107</v>
      </c>
      <c r="B14" s="5" t="str">
        <f t="shared" si="0"/>
        <v>Позитивов Платон Петрович</v>
      </c>
    </row>
    <row r="15" spans="1:2" x14ac:dyDescent="0.2">
      <c r="A15" s="5" t="s">
        <v>110</v>
      </c>
      <c r="B15" s="5" t="str">
        <f t="shared" si="0"/>
        <v>Праздникова Полина Павловна</v>
      </c>
    </row>
    <row r="16" spans="1:2" x14ac:dyDescent="0.2">
      <c r="A16" s="5" t="s">
        <v>108</v>
      </c>
      <c r="B16" s="5" t="str">
        <f t="shared" si="0"/>
        <v>Прекрасная Пелагея Платоновна</v>
      </c>
    </row>
    <row r="17" spans="1:2" x14ac:dyDescent="0.2">
      <c r="A17" s="5" t="s">
        <v>109</v>
      </c>
      <c r="B17" s="5" t="str">
        <f t="shared" si="0"/>
        <v>Приятный Павел Петрович</v>
      </c>
    </row>
    <row r="18" spans="1:2" x14ac:dyDescent="0.2">
      <c r="A18" s="5" t="s">
        <v>111</v>
      </c>
      <c r="B18" s="5" t="str">
        <f t="shared" si="0"/>
        <v>Радостная Раиса Романовна</v>
      </c>
    </row>
    <row r="19" spans="1:2" x14ac:dyDescent="0.2">
      <c r="A19" s="5" t="s">
        <v>112</v>
      </c>
      <c r="B19" s="5" t="str">
        <f t="shared" si="0"/>
        <v>Радостный Роман Русланович</v>
      </c>
    </row>
    <row r="20" spans="1:2" x14ac:dyDescent="0.2">
      <c r="A20" s="5" t="s">
        <v>113</v>
      </c>
      <c r="B20" s="5" t="str">
        <f t="shared" si="0"/>
        <v>Счастливцев Сергей Семенович</v>
      </c>
    </row>
    <row r="21" spans="1:2" x14ac:dyDescent="0.2">
      <c r="A21" s="5" t="s">
        <v>114</v>
      </c>
      <c r="B21" s="5" t="str">
        <f t="shared" si="0"/>
        <v>Толерантная Таисия Тихоновна</v>
      </c>
    </row>
    <row r="22" spans="1:2" x14ac:dyDescent="0.2">
      <c r="A22" s="5" t="s">
        <v>115</v>
      </c>
      <c r="B22" s="5" t="str">
        <f t="shared" si="0"/>
        <v>Удальцов Устин Устинович</v>
      </c>
    </row>
    <row r="23" spans="1:2" x14ac:dyDescent="0.2">
      <c r="A23" s="5" t="s">
        <v>116</v>
      </c>
      <c r="B23" s="5" t="str">
        <f t="shared" si="0"/>
        <v>Улыбочкина Ульяна Устиновна</v>
      </c>
    </row>
    <row r="24" spans="1:2" x14ac:dyDescent="0.2">
      <c r="A24" s="5" t="s">
        <v>117</v>
      </c>
      <c r="B24" s="5" t="str">
        <f t="shared" si="0"/>
        <v>Хороших Харитон Харитонович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24"/>
  <sheetViews>
    <sheetView showGridLines="0" workbookViewId="0">
      <selection activeCell="D2" sqref="D2:D24"/>
    </sheetView>
  </sheetViews>
  <sheetFormatPr defaultRowHeight="14.25" x14ac:dyDescent="0.2"/>
  <cols>
    <col min="1" max="4" width="39.28515625" style="4" bestFit="1" customWidth="1"/>
    <col min="5" max="16384" width="9.140625" style="4"/>
  </cols>
  <sheetData>
    <row r="1" spans="1:4" ht="18.75" customHeight="1" x14ac:dyDescent="0.2">
      <c r="A1" s="3" t="s">
        <v>118</v>
      </c>
      <c r="B1" s="3" t="s">
        <v>155</v>
      </c>
      <c r="C1" s="3" t="s">
        <v>156</v>
      </c>
      <c r="D1" s="3" t="s">
        <v>10</v>
      </c>
    </row>
    <row r="2" spans="1:4" x14ac:dyDescent="0.2">
      <c r="A2" s="5" t="s">
        <v>132</v>
      </c>
      <c r="B2" s="5" t="str">
        <f>UPPER(A2)</f>
        <v>АНГЕЛОЧКИН АНТОН АЛЕКСЕЕВИЧ</v>
      </c>
      <c r="C2" s="5" t="str">
        <f>LOWER(A2)</f>
        <v>ангелочкин антон алексеевич</v>
      </c>
      <c r="D2" s="5" t="str">
        <f>PROPER(A2)</f>
        <v>Ангелочкин Антон Алексеевич</v>
      </c>
    </row>
    <row r="3" spans="1:4" x14ac:dyDescent="0.2">
      <c r="A3" s="5" t="s">
        <v>133</v>
      </c>
      <c r="B3" s="5" t="str">
        <f t="shared" ref="B3:B24" si="0">UPPER(A3)</f>
        <v>ВЕЗУНЧИКОВ ВИКТОР ВАСИЛЬЕВИЧ</v>
      </c>
      <c r="C3" s="5" t="str">
        <f t="shared" ref="C3:C24" si="1">LOWER(A3)</f>
        <v>везунчиков виктор васильевич</v>
      </c>
      <c r="D3" s="5" t="str">
        <f t="shared" ref="D3:D24" si="2">PROPER(A3)</f>
        <v>Везунчиков Виктор Васильевич</v>
      </c>
    </row>
    <row r="4" spans="1:4" x14ac:dyDescent="0.2">
      <c r="A4" s="5" t="s">
        <v>134</v>
      </c>
      <c r="B4" s="5" t="str">
        <f t="shared" si="0"/>
        <v>ВЕСЕЛЫЙ ВАСИЛИЙ ВИКТОРОВИЧ</v>
      </c>
      <c r="C4" s="5" t="str">
        <f t="shared" si="1"/>
        <v>веселый василий викторович</v>
      </c>
      <c r="D4" s="5" t="str">
        <f t="shared" si="2"/>
        <v>Веселый Василий Викторович</v>
      </c>
    </row>
    <row r="5" spans="1:4" x14ac:dyDescent="0.2">
      <c r="A5" s="5" t="s">
        <v>135</v>
      </c>
      <c r="B5" s="5" t="str">
        <f t="shared" si="0"/>
        <v>ДОБРЕЙШИЙ ДАНИИЛ ДМИТРИЕВИЧ</v>
      </c>
      <c r="C5" s="5" t="str">
        <f t="shared" si="1"/>
        <v>добрейший даниил дмитриевич</v>
      </c>
      <c r="D5" s="5" t="str">
        <f t="shared" si="2"/>
        <v>Добрейший Даниил Дмитриевич</v>
      </c>
    </row>
    <row r="6" spans="1:4" x14ac:dyDescent="0.2">
      <c r="A6" s="5" t="s">
        <v>136</v>
      </c>
      <c r="B6" s="5" t="str">
        <f t="shared" si="0"/>
        <v>ДОБРЕЦОВ ДЕНИС ДАВИДОВИЧ</v>
      </c>
      <c r="C6" s="5" t="str">
        <f t="shared" si="1"/>
        <v>добрецов денис давидович</v>
      </c>
      <c r="D6" s="5" t="str">
        <f t="shared" si="2"/>
        <v>Добрецов Денис Давидович</v>
      </c>
    </row>
    <row r="7" spans="1:4" x14ac:dyDescent="0.2">
      <c r="A7" s="5" t="s">
        <v>137</v>
      </c>
      <c r="B7" s="5" t="str">
        <f t="shared" si="0"/>
        <v>ДУШЕЧКИН ДМИТРИЙ ДАНИЛОВИЧ</v>
      </c>
      <c r="C7" s="5" t="str">
        <f t="shared" si="1"/>
        <v>душечкин дмитрий данилович</v>
      </c>
      <c r="D7" s="5" t="str">
        <f t="shared" si="2"/>
        <v>Душечкин Дмитрий Данилович</v>
      </c>
    </row>
    <row r="8" spans="1:4" x14ac:dyDescent="0.2">
      <c r="A8" s="5" t="s">
        <v>138</v>
      </c>
      <c r="B8" s="5" t="str">
        <f t="shared" si="0"/>
        <v>ЗАМЕЧАТЕЛЬНАЯ ЗИНАИДА ЗАХАРОВНА</v>
      </c>
      <c r="C8" s="5" t="str">
        <f t="shared" si="1"/>
        <v>замечательная зинаида захаровна</v>
      </c>
      <c r="D8" s="5" t="str">
        <f t="shared" si="2"/>
        <v>Замечательная Зинаида Захаровна</v>
      </c>
    </row>
    <row r="9" spans="1:4" x14ac:dyDescent="0.2">
      <c r="A9" s="5" t="s">
        <v>139</v>
      </c>
      <c r="B9" s="5" t="str">
        <f t="shared" si="0"/>
        <v>КРАСАВЦЕВ КОНСТАНТИН КИРИЛЛОВИЧ</v>
      </c>
      <c r="C9" s="5" t="str">
        <f t="shared" si="1"/>
        <v>красавцев константин кириллович</v>
      </c>
      <c r="D9" s="5" t="str">
        <f t="shared" si="2"/>
        <v>Красавцев Константин Кириллович</v>
      </c>
    </row>
    <row r="10" spans="1:4" x14ac:dyDescent="0.2">
      <c r="A10" s="5" t="s">
        <v>140</v>
      </c>
      <c r="B10" s="5" t="str">
        <f t="shared" si="0"/>
        <v>МИРНЫЙ МАКСИМ МИХАЙЛОВИЧ</v>
      </c>
      <c r="C10" s="5" t="str">
        <f t="shared" si="1"/>
        <v>мирный максим михайлович</v>
      </c>
      <c r="D10" s="5" t="str">
        <f t="shared" si="2"/>
        <v>Мирный Максим Михайлович</v>
      </c>
    </row>
    <row r="11" spans="1:4" x14ac:dyDescent="0.2">
      <c r="A11" s="5" t="s">
        <v>141</v>
      </c>
      <c r="B11" s="5" t="str">
        <f t="shared" si="0"/>
        <v>НЕУНЫВАЮЩИЙ НИКИТА НИКОЛАЕВИЧ</v>
      </c>
      <c r="C11" s="5" t="str">
        <f t="shared" si="1"/>
        <v>неунывающий никита николаевич</v>
      </c>
      <c r="D11" s="5" t="str">
        <f t="shared" si="2"/>
        <v>Неунывающий Никита Николаевич</v>
      </c>
    </row>
    <row r="12" spans="1:4" x14ac:dyDescent="0.2">
      <c r="A12" s="5" t="s">
        <v>142</v>
      </c>
      <c r="B12" s="5" t="str">
        <f t="shared" si="0"/>
        <v>ОПТИМИСТОВ ОЛЕГ ОСИПОВИЧ</v>
      </c>
      <c r="C12" s="5" t="str">
        <f t="shared" si="1"/>
        <v>оптимистов олег осипович</v>
      </c>
      <c r="D12" s="5" t="str">
        <f t="shared" si="2"/>
        <v>Оптимистов Олег Осипович</v>
      </c>
    </row>
    <row r="13" spans="1:4" x14ac:dyDescent="0.2">
      <c r="A13" s="5" t="s">
        <v>143</v>
      </c>
      <c r="B13" s="5" t="str">
        <f t="shared" si="0"/>
        <v>ОТЛИЧНИЦЕВА ОКСАНА ОЛЕГОВНА</v>
      </c>
      <c r="C13" s="5" t="str">
        <f t="shared" si="1"/>
        <v>отличницева оксана олеговна</v>
      </c>
      <c r="D13" s="5" t="str">
        <f t="shared" si="2"/>
        <v>Отличницева Оксана Олеговна</v>
      </c>
    </row>
    <row r="14" spans="1:4" x14ac:dyDescent="0.2">
      <c r="A14" s="5" t="s">
        <v>144</v>
      </c>
      <c r="B14" s="5" t="str">
        <f t="shared" si="0"/>
        <v>ПОЗИТИВОВ ПЛАТОН ПЕТРОВИЧ</v>
      </c>
      <c r="C14" s="5" t="str">
        <f t="shared" si="1"/>
        <v>позитивов платон петрович</v>
      </c>
      <c r="D14" s="5" t="str">
        <f t="shared" si="2"/>
        <v>Позитивов Платон Петрович</v>
      </c>
    </row>
    <row r="15" spans="1:4" x14ac:dyDescent="0.2">
      <c r="A15" s="5" t="s">
        <v>145</v>
      </c>
      <c r="B15" s="5" t="str">
        <f t="shared" si="0"/>
        <v>ПРАЗДНИКОВА ПОЛИНА ПАВЛОВНА</v>
      </c>
      <c r="C15" s="5" t="str">
        <f t="shared" si="1"/>
        <v>праздникова полина павловна</v>
      </c>
      <c r="D15" s="5" t="str">
        <f t="shared" si="2"/>
        <v>Праздникова Полина Павловна</v>
      </c>
    </row>
    <row r="16" spans="1:4" x14ac:dyDescent="0.2">
      <c r="A16" s="5" t="s">
        <v>146</v>
      </c>
      <c r="B16" s="5" t="str">
        <f t="shared" si="0"/>
        <v>ПРЕКРАСНАЯ ПЕЛАГЕЯ ПЛАТОНОВНА</v>
      </c>
      <c r="C16" s="5" t="str">
        <f t="shared" si="1"/>
        <v>прекрасная пелагея платоновна</v>
      </c>
      <c r="D16" s="5" t="str">
        <f t="shared" si="2"/>
        <v>Прекрасная Пелагея Платоновна</v>
      </c>
    </row>
    <row r="17" spans="1:4" x14ac:dyDescent="0.2">
      <c r="A17" s="5" t="s">
        <v>147</v>
      </c>
      <c r="B17" s="5" t="str">
        <f t="shared" si="0"/>
        <v>ПРИЯТНЫЙ ПАВЕЛ ПЕТРОВИЧ</v>
      </c>
      <c r="C17" s="5" t="str">
        <f t="shared" si="1"/>
        <v>приятный павел петрович</v>
      </c>
      <c r="D17" s="5" t="str">
        <f t="shared" si="2"/>
        <v>Приятный Павел Петрович</v>
      </c>
    </row>
    <row r="18" spans="1:4" x14ac:dyDescent="0.2">
      <c r="A18" s="5" t="s">
        <v>148</v>
      </c>
      <c r="B18" s="5" t="str">
        <f t="shared" si="0"/>
        <v>РАДОСТНАЯ РАИСА РОМАНОВНА</v>
      </c>
      <c r="C18" s="5" t="str">
        <f t="shared" si="1"/>
        <v>радостная раиса романовна</v>
      </c>
      <c r="D18" s="5" t="str">
        <f t="shared" si="2"/>
        <v>Радостная Раиса Романовна</v>
      </c>
    </row>
    <row r="19" spans="1:4" x14ac:dyDescent="0.2">
      <c r="A19" s="5" t="s">
        <v>149</v>
      </c>
      <c r="B19" s="5" t="str">
        <f t="shared" si="0"/>
        <v>РАДОСТНЫЙ РОМАН РУСЛАНОВИЧ</v>
      </c>
      <c r="C19" s="5" t="str">
        <f t="shared" si="1"/>
        <v>радостный роман русланович</v>
      </c>
      <c r="D19" s="5" t="str">
        <f t="shared" si="2"/>
        <v>Радостный Роман Русланович</v>
      </c>
    </row>
    <row r="20" spans="1:4" x14ac:dyDescent="0.2">
      <c r="A20" s="5" t="s">
        <v>150</v>
      </c>
      <c r="B20" s="5" t="str">
        <f t="shared" si="0"/>
        <v>СЧАСТЛИВЦЕВ СЕРГЕЙ СЕМЕНОВИЧ</v>
      </c>
      <c r="C20" s="5" t="str">
        <f t="shared" si="1"/>
        <v>счастливцев сергей семенович</v>
      </c>
      <c r="D20" s="5" t="str">
        <f t="shared" si="2"/>
        <v>Счастливцев Сергей Семенович</v>
      </c>
    </row>
    <row r="21" spans="1:4" x14ac:dyDescent="0.2">
      <c r="A21" s="5" t="s">
        <v>151</v>
      </c>
      <c r="B21" s="5" t="str">
        <f t="shared" si="0"/>
        <v>ТОЛЕРАНТНАЯ ТАИСИЯ ТИХОНОВНА</v>
      </c>
      <c r="C21" s="5" t="str">
        <f t="shared" si="1"/>
        <v>толерантная таисия тихоновна</v>
      </c>
      <c r="D21" s="5" t="str">
        <f t="shared" si="2"/>
        <v>Толерантная Таисия Тихоновна</v>
      </c>
    </row>
    <row r="22" spans="1:4" x14ac:dyDescent="0.2">
      <c r="A22" s="5" t="s">
        <v>152</v>
      </c>
      <c r="B22" s="5" t="str">
        <f t="shared" si="0"/>
        <v>УДАЛЬЦОВ УСТИН УСТИНОВИЧ</v>
      </c>
      <c r="C22" s="5" t="str">
        <f t="shared" si="1"/>
        <v>удальцов устин устинович</v>
      </c>
      <c r="D22" s="5" t="str">
        <f t="shared" si="2"/>
        <v>Удальцов Устин Устинович</v>
      </c>
    </row>
    <row r="23" spans="1:4" x14ac:dyDescent="0.2">
      <c r="A23" s="5" t="s">
        <v>153</v>
      </c>
      <c r="B23" s="5" t="str">
        <f t="shared" si="0"/>
        <v>УЛЫБОЧКИНА УЛЬЯНА УСТИНОВНА</v>
      </c>
      <c r="C23" s="5" t="str">
        <f t="shared" si="1"/>
        <v>улыбочкина ульяна устиновна</v>
      </c>
      <c r="D23" s="5" t="str">
        <f t="shared" si="2"/>
        <v>Улыбочкина Ульяна Устиновна</v>
      </c>
    </row>
    <row r="24" spans="1:4" x14ac:dyDescent="0.2">
      <c r="A24" s="5" t="s">
        <v>154</v>
      </c>
      <c r="B24" s="5" t="str">
        <f t="shared" si="0"/>
        <v>ХОРОШИХ ХАРИТОН ХАРИТОНОВИЧ</v>
      </c>
      <c r="C24" s="5" t="str">
        <f t="shared" si="1"/>
        <v>хороших харитон харитонович</v>
      </c>
      <c r="D24" s="5" t="str">
        <f t="shared" si="2"/>
        <v>Хороших Харитон Харитонович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24"/>
  <sheetViews>
    <sheetView showGridLines="0" workbookViewId="0">
      <selection activeCell="E2" sqref="E2:E24"/>
    </sheetView>
  </sheetViews>
  <sheetFormatPr defaultRowHeight="14.25" x14ac:dyDescent="0.2"/>
  <cols>
    <col min="1" max="1" width="18.28515625" style="7" bestFit="1" customWidth="1"/>
    <col min="2" max="2" width="12.28515625" style="7" bestFit="1" customWidth="1"/>
    <col min="3" max="3" width="13.7109375" style="7" bestFit="1" customWidth="1"/>
    <col min="4" max="5" width="26.85546875" style="4" bestFit="1" customWidth="1"/>
    <col min="6" max="6" width="9.140625" style="4"/>
    <col min="7" max="7" width="24.7109375" style="4" customWidth="1"/>
    <col min="8" max="8" width="13.42578125" style="4" customWidth="1"/>
    <col min="9" max="9" width="11.7109375" style="4" customWidth="1"/>
    <col min="10" max="16384" width="9.140625" style="4"/>
  </cols>
  <sheetData>
    <row r="1" spans="1:5" ht="18.75" customHeight="1" x14ac:dyDescent="0.2">
      <c r="A1" s="2" t="s">
        <v>13</v>
      </c>
      <c r="B1" s="2" t="s">
        <v>12</v>
      </c>
      <c r="C1" s="2" t="s">
        <v>14</v>
      </c>
      <c r="D1" s="3" t="s">
        <v>158</v>
      </c>
      <c r="E1" s="3" t="s">
        <v>11</v>
      </c>
    </row>
    <row r="2" spans="1:5" x14ac:dyDescent="0.2">
      <c r="A2" s="5" t="s">
        <v>16</v>
      </c>
      <c r="B2" s="5" t="s">
        <v>69</v>
      </c>
      <c r="C2" s="5" t="s">
        <v>18</v>
      </c>
      <c r="D2" s="5" t="str">
        <f>LEFT(A2,1)</f>
        <v>А</v>
      </c>
      <c r="E2" s="6" t="str">
        <f>CONCATENATE(A2," ",LEFT(B2,1),".",LEFT(C2,1),".")</f>
        <v>Ангелочкин А.А.</v>
      </c>
    </row>
    <row r="3" spans="1:5" x14ac:dyDescent="0.2">
      <c r="A3" s="5" t="s">
        <v>17</v>
      </c>
      <c r="B3" s="5" t="s">
        <v>1</v>
      </c>
      <c r="C3" s="5" t="s">
        <v>7</v>
      </c>
      <c r="D3" s="5" t="str">
        <f t="shared" ref="D3:D24" si="0">LEFT(A3,1)</f>
        <v>В</v>
      </c>
      <c r="E3" s="6" t="str">
        <f t="shared" ref="E3:E24" si="1">CONCATENATE(A3," ",LEFT(B3,1),".",LEFT(C3,1),".")</f>
        <v>Везунчиков В.В.</v>
      </c>
    </row>
    <row r="4" spans="1:5" x14ac:dyDescent="0.2">
      <c r="A4" s="5" t="s">
        <v>70</v>
      </c>
      <c r="B4" s="5" t="s">
        <v>71</v>
      </c>
      <c r="C4" s="5" t="s">
        <v>8</v>
      </c>
      <c r="D4" s="5" t="str">
        <f t="shared" si="0"/>
        <v>В</v>
      </c>
      <c r="E4" s="6" t="str">
        <f t="shared" si="1"/>
        <v>Веселый В.В.</v>
      </c>
    </row>
    <row r="5" spans="1:5" x14ac:dyDescent="0.2">
      <c r="A5" s="5" t="s">
        <v>72</v>
      </c>
      <c r="B5" s="5" t="s">
        <v>73</v>
      </c>
      <c r="C5" s="5" t="s">
        <v>74</v>
      </c>
      <c r="D5" s="5" t="str">
        <f t="shared" si="0"/>
        <v>Д</v>
      </c>
      <c r="E5" s="6" t="str">
        <f t="shared" si="1"/>
        <v>Добрейший Д.Д.</v>
      </c>
    </row>
    <row r="6" spans="1:5" x14ac:dyDescent="0.2">
      <c r="A6" s="5" t="s">
        <v>32</v>
      </c>
      <c r="B6" s="5" t="s">
        <v>21</v>
      </c>
      <c r="C6" s="5" t="s">
        <v>22</v>
      </c>
      <c r="D6" s="5" t="str">
        <f t="shared" si="0"/>
        <v>Д</v>
      </c>
      <c r="E6" s="6" t="str">
        <f t="shared" si="1"/>
        <v>Добрецов Д.Д.</v>
      </c>
    </row>
    <row r="7" spans="1:5" x14ac:dyDescent="0.2">
      <c r="A7" s="5" t="s">
        <v>15</v>
      </c>
      <c r="B7" s="5" t="s">
        <v>5</v>
      </c>
      <c r="C7" s="5" t="s">
        <v>75</v>
      </c>
      <c r="D7" s="5" t="str">
        <f t="shared" si="0"/>
        <v>Д</v>
      </c>
      <c r="E7" s="6" t="str">
        <f t="shared" si="1"/>
        <v>Душечкин Д.Д.</v>
      </c>
    </row>
    <row r="8" spans="1:5" x14ac:dyDescent="0.2">
      <c r="A8" s="5" t="s">
        <v>43</v>
      </c>
      <c r="B8" s="5" t="s">
        <v>44</v>
      </c>
      <c r="C8" s="5" t="s">
        <v>76</v>
      </c>
      <c r="D8" s="5" t="str">
        <f t="shared" si="0"/>
        <v>З</v>
      </c>
      <c r="E8" s="6" t="str">
        <f t="shared" si="1"/>
        <v>Замечательная З.З.</v>
      </c>
    </row>
    <row r="9" spans="1:5" x14ac:dyDescent="0.2">
      <c r="A9" s="5" t="s">
        <v>31</v>
      </c>
      <c r="B9" s="5" t="s">
        <v>19</v>
      </c>
      <c r="C9" s="5" t="s">
        <v>20</v>
      </c>
      <c r="D9" s="5" t="str">
        <f t="shared" si="0"/>
        <v>К</v>
      </c>
      <c r="E9" s="6" t="str">
        <f t="shared" si="1"/>
        <v>Красавцев К.К.</v>
      </c>
    </row>
    <row r="10" spans="1:5" x14ac:dyDescent="0.2">
      <c r="A10" s="5" t="s">
        <v>38</v>
      </c>
      <c r="B10" s="5" t="s">
        <v>28</v>
      </c>
      <c r="C10" s="5" t="s">
        <v>4</v>
      </c>
      <c r="D10" s="5" t="str">
        <f t="shared" si="0"/>
        <v>М</v>
      </c>
      <c r="E10" s="6" t="str">
        <f t="shared" si="1"/>
        <v>Мирный М.М.</v>
      </c>
    </row>
    <row r="11" spans="1:5" x14ac:dyDescent="0.2">
      <c r="A11" s="5" t="s">
        <v>34</v>
      </c>
      <c r="B11" s="5" t="s">
        <v>23</v>
      </c>
      <c r="C11" s="5" t="s">
        <v>2</v>
      </c>
      <c r="D11" s="5" t="str">
        <f t="shared" si="0"/>
        <v>Н</v>
      </c>
      <c r="E11" s="6" t="str">
        <f t="shared" si="1"/>
        <v>Неунывающий Н.Н.</v>
      </c>
    </row>
    <row r="12" spans="1:5" x14ac:dyDescent="0.2">
      <c r="A12" s="5" t="s">
        <v>33</v>
      </c>
      <c r="B12" s="5" t="s">
        <v>3</v>
      </c>
      <c r="C12" s="5" t="s">
        <v>77</v>
      </c>
      <c r="D12" s="5" t="str">
        <f t="shared" si="0"/>
        <v>О</v>
      </c>
      <c r="E12" s="6" t="str">
        <f t="shared" si="1"/>
        <v>Оптимистов О.О.</v>
      </c>
    </row>
    <row r="13" spans="1:5" x14ac:dyDescent="0.2">
      <c r="A13" s="5" t="s">
        <v>45</v>
      </c>
      <c r="B13" s="5" t="s">
        <v>78</v>
      </c>
      <c r="C13" s="5" t="s">
        <v>79</v>
      </c>
      <c r="D13" s="5" t="str">
        <f t="shared" si="0"/>
        <v>О</v>
      </c>
      <c r="E13" s="6" t="str">
        <f t="shared" si="1"/>
        <v>Отличницева О.О.</v>
      </c>
    </row>
    <row r="14" spans="1:5" x14ac:dyDescent="0.2">
      <c r="A14" s="5" t="s">
        <v>39</v>
      </c>
      <c r="B14" s="5" t="s">
        <v>80</v>
      </c>
      <c r="C14" s="5" t="s">
        <v>6</v>
      </c>
      <c r="D14" s="5" t="str">
        <f t="shared" si="0"/>
        <v>П</v>
      </c>
      <c r="E14" s="6" t="str">
        <f t="shared" si="1"/>
        <v>Позитивов П.П.</v>
      </c>
    </row>
    <row r="15" spans="1:5" x14ac:dyDescent="0.2">
      <c r="A15" s="5" t="s">
        <v>40</v>
      </c>
      <c r="B15" s="5" t="s">
        <v>81</v>
      </c>
      <c r="C15" s="5" t="s">
        <v>82</v>
      </c>
      <c r="D15" s="5" t="str">
        <f t="shared" si="0"/>
        <v>П</v>
      </c>
      <c r="E15" s="6" t="str">
        <f t="shared" si="1"/>
        <v>Праздникова П.П.</v>
      </c>
    </row>
    <row r="16" spans="1:5" x14ac:dyDescent="0.2">
      <c r="A16" s="5" t="s">
        <v>42</v>
      </c>
      <c r="B16" s="5" t="s">
        <v>83</v>
      </c>
      <c r="C16" s="5" t="s">
        <v>84</v>
      </c>
      <c r="D16" s="5" t="str">
        <f t="shared" si="0"/>
        <v>П</v>
      </c>
      <c r="E16" s="6" t="str">
        <f t="shared" si="1"/>
        <v>Прекрасная П.П.</v>
      </c>
    </row>
    <row r="17" spans="1:5" x14ac:dyDescent="0.2">
      <c r="A17" s="5" t="s">
        <v>37</v>
      </c>
      <c r="B17" s="5" t="s">
        <v>9</v>
      </c>
      <c r="C17" s="5" t="s">
        <v>6</v>
      </c>
      <c r="D17" s="5" t="str">
        <f t="shared" si="0"/>
        <v>П</v>
      </c>
      <c r="E17" s="6" t="str">
        <f t="shared" si="1"/>
        <v>Приятный П.П.</v>
      </c>
    </row>
    <row r="18" spans="1:5" x14ac:dyDescent="0.2">
      <c r="A18" s="5" t="s">
        <v>41</v>
      </c>
      <c r="B18" s="5" t="s">
        <v>85</v>
      </c>
      <c r="C18" s="5" t="s">
        <v>86</v>
      </c>
      <c r="D18" s="5" t="str">
        <f t="shared" si="0"/>
        <v>Р</v>
      </c>
      <c r="E18" s="6" t="str">
        <f t="shared" si="1"/>
        <v>Радостная Р.Р.</v>
      </c>
    </row>
    <row r="19" spans="1:5" x14ac:dyDescent="0.2">
      <c r="A19" s="5" t="s">
        <v>35</v>
      </c>
      <c r="B19" s="5" t="s">
        <v>24</v>
      </c>
      <c r="C19" s="5" t="s">
        <v>25</v>
      </c>
      <c r="D19" s="5" t="str">
        <f t="shared" si="0"/>
        <v>Р</v>
      </c>
      <c r="E19" s="6" t="str">
        <f t="shared" si="1"/>
        <v>Радостный Р.Р.</v>
      </c>
    </row>
    <row r="20" spans="1:5" x14ac:dyDescent="0.2">
      <c r="A20" s="5" t="s">
        <v>30</v>
      </c>
      <c r="B20" s="5" t="s">
        <v>0</v>
      </c>
      <c r="C20" s="5" t="s">
        <v>87</v>
      </c>
      <c r="D20" s="5" t="str">
        <f t="shared" si="0"/>
        <v>С</v>
      </c>
      <c r="E20" s="6" t="str">
        <f t="shared" si="1"/>
        <v>Счастливцев С.С.</v>
      </c>
    </row>
    <row r="21" spans="1:5" x14ac:dyDescent="0.2">
      <c r="A21" s="5" t="s">
        <v>88</v>
      </c>
      <c r="B21" s="5" t="s">
        <v>89</v>
      </c>
      <c r="C21" s="5" t="s">
        <v>90</v>
      </c>
      <c r="D21" s="5" t="str">
        <f t="shared" si="0"/>
        <v>Т</v>
      </c>
      <c r="E21" s="6" t="str">
        <f t="shared" si="1"/>
        <v>Толерантная Т.Т.</v>
      </c>
    </row>
    <row r="22" spans="1:5" x14ac:dyDescent="0.2">
      <c r="A22" s="5" t="s">
        <v>29</v>
      </c>
      <c r="B22" s="5" t="s">
        <v>91</v>
      </c>
      <c r="C22" s="5" t="s">
        <v>92</v>
      </c>
      <c r="D22" s="5" t="str">
        <f t="shared" si="0"/>
        <v>У</v>
      </c>
      <c r="E22" s="6" t="str">
        <f t="shared" si="1"/>
        <v>Удальцов У.У.</v>
      </c>
    </row>
    <row r="23" spans="1:5" x14ac:dyDescent="0.2">
      <c r="A23" s="5" t="s">
        <v>93</v>
      </c>
      <c r="B23" s="5" t="s">
        <v>94</v>
      </c>
      <c r="C23" s="5" t="s">
        <v>95</v>
      </c>
      <c r="D23" s="5" t="str">
        <f t="shared" si="0"/>
        <v>У</v>
      </c>
      <c r="E23" s="6" t="str">
        <f t="shared" si="1"/>
        <v>Улыбочкина У.У.</v>
      </c>
    </row>
    <row r="24" spans="1:5" x14ac:dyDescent="0.2">
      <c r="A24" s="5" t="s">
        <v>36</v>
      </c>
      <c r="B24" s="5" t="s">
        <v>26</v>
      </c>
      <c r="C24" s="5" t="s">
        <v>27</v>
      </c>
      <c r="D24" s="5" t="str">
        <f t="shared" si="0"/>
        <v>Х</v>
      </c>
      <c r="E24" s="6" t="str">
        <f t="shared" si="1"/>
        <v>Хороших Х.Х.</v>
      </c>
    </row>
  </sheetData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10"/>
  <sheetViews>
    <sheetView showGridLines="0" workbookViewId="0">
      <selection activeCell="D2" sqref="D2:D10"/>
    </sheetView>
  </sheetViews>
  <sheetFormatPr defaultRowHeight="14.25" x14ac:dyDescent="0.2"/>
  <cols>
    <col min="1" max="1" width="21.140625" style="1" bestFit="1" customWidth="1"/>
    <col min="2" max="2" width="11.7109375" style="1" bestFit="1" customWidth="1"/>
    <col min="3" max="3" width="16.42578125" style="1" bestFit="1" customWidth="1"/>
    <col min="4" max="4" width="20.28515625" style="1" bestFit="1" customWidth="1"/>
    <col min="5" max="16384" width="9.140625" style="1"/>
  </cols>
  <sheetData>
    <row r="1" spans="1:4" ht="20.25" customHeight="1" x14ac:dyDescent="0.2">
      <c r="A1" s="2" t="s">
        <v>118</v>
      </c>
      <c r="B1" s="2" t="s">
        <v>124</v>
      </c>
      <c r="C1" s="2" t="s">
        <v>125</v>
      </c>
      <c r="D1" s="2" t="s">
        <v>126</v>
      </c>
    </row>
    <row r="2" spans="1:4" x14ac:dyDescent="0.2">
      <c r="A2" s="5" t="s">
        <v>120</v>
      </c>
      <c r="B2" s="5">
        <f>FIND("#",A2,1)</f>
        <v>4</v>
      </c>
      <c r="C2" s="5">
        <f>VALUE(LEFT(A2,B2-1))</f>
        <v>111</v>
      </c>
      <c r="D2" s="5">
        <f>RIGHT(A2,LEN(A2)-B2)*1</f>
        <v>101</v>
      </c>
    </row>
    <row r="3" spans="1:4" x14ac:dyDescent="0.2">
      <c r="A3" s="5" t="s">
        <v>131</v>
      </c>
      <c r="B3" s="5">
        <f t="shared" ref="B3:B10" si="0">FIND("#",A3,1)</f>
        <v>4</v>
      </c>
      <c r="C3" s="5">
        <f t="shared" ref="C3:C10" si="1">VALUE(LEFT(A3,B3-1))</f>
        <v>202</v>
      </c>
      <c r="D3" s="5">
        <f t="shared" ref="D3:D10" si="2">RIGHT(A3,LEN(A3)-B3)*1</f>
        <v>20</v>
      </c>
    </row>
    <row r="4" spans="1:4" x14ac:dyDescent="0.2">
      <c r="A4" s="5" t="s">
        <v>130</v>
      </c>
      <c r="B4" s="5">
        <f t="shared" si="0"/>
        <v>5</v>
      </c>
      <c r="C4" s="5">
        <f t="shared" si="1"/>
        <v>3303</v>
      </c>
      <c r="D4" s="5">
        <f t="shared" si="2"/>
        <v>333</v>
      </c>
    </row>
    <row r="5" spans="1:4" x14ac:dyDescent="0.2">
      <c r="A5" s="5" t="s">
        <v>121</v>
      </c>
      <c r="B5" s="5">
        <f t="shared" si="0"/>
        <v>3</v>
      </c>
      <c r="C5" s="5">
        <f t="shared" si="1"/>
        <v>44</v>
      </c>
      <c r="D5" s="5">
        <f t="shared" si="2"/>
        <v>4404</v>
      </c>
    </row>
    <row r="6" spans="1:4" x14ac:dyDescent="0.2">
      <c r="A6" s="5" t="s">
        <v>127</v>
      </c>
      <c r="B6" s="5">
        <f t="shared" si="0"/>
        <v>2</v>
      </c>
      <c r="C6" s="5">
        <f t="shared" si="1"/>
        <v>5</v>
      </c>
      <c r="D6" s="5">
        <f t="shared" si="2"/>
        <v>505555</v>
      </c>
    </row>
    <row r="7" spans="1:4" x14ac:dyDescent="0.2">
      <c r="A7" s="5" t="s">
        <v>122</v>
      </c>
      <c r="B7" s="5">
        <f t="shared" si="0"/>
        <v>6</v>
      </c>
      <c r="C7" s="5">
        <f t="shared" si="1"/>
        <v>66660</v>
      </c>
      <c r="D7" s="5">
        <f t="shared" si="2"/>
        <v>6</v>
      </c>
    </row>
    <row r="8" spans="1:4" x14ac:dyDescent="0.2">
      <c r="A8" s="5" t="s">
        <v>128</v>
      </c>
      <c r="B8" s="5">
        <f t="shared" si="0"/>
        <v>4</v>
      </c>
      <c r="C8" s="5">
        <f t="shared" si="1"/>
        <v>777</v>
      </c>
      <c r="D8" s="5">
        <f t="shared" si="2"/>
        <v>77777</v>
      </c>
    </row>
    <row r="9" spans="1:4" x14ac:dyDescent="0.2">
      <c r="A9" s="5" t="s">
        <v>123</v>
      </c>
      <c r="B9" s="5">
        <f t="shared" si="0"/>
        <v>5</v>
      </c>
      <c r="C9" s="5">
        <f t="shared" si="1"/>
        <v>8088</v>
      </c>
      <c r="D9" s="5">
        <f t="shared" si="2"/>
        <v>88</v>
      </c>
    </row>
    <row r="10" spans="1:4" x14ac:dyDescent="0.2">
      <c r="A10" s="5" t="s">
        <v>129</v>
      </c>
      <c r="B10" s="5">
        <f t="shared" si="0"/>
        <v>4</v>
      </c>
      <c r="C10" s="5">
        <f t="shared" si="1"/>
        <v>909</v>
      </c>
      <c r="D10" s="5">
        <f t="shared" si="2"/>
        <v>909999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24"/>
  <sheetViews>
    <sheetView showGridLines="0" workbookViewId="0">
      <selection activeCell="B4" sqref="B4"/>
    </sheetView>
  </sheetViews>
  <sheetFormatPr defaultRowHeight="14.25" x14ac:dyDescent="0.2"/>
  <cols>
    <col min="1" max="1" width="37.28515625" style="1" customWidth="1"/>
    <col min="2" max="2" width="26.42578125" style="1" customWidth="1"/>
    <col min="3" max="3" width="21" style="1" customWidth="1"/>
    <col min="4" max="4" width="20.85546875" style="1" customWidth="1"/>
    <col min="5" max="16384" width="9.140625" style="1"/>
  </cols>
  <sheetData>
    <row r="1" spans="1:4" ht="15" x14ac:dyDescent="0.2">
      <c r="A1" s="3" t="s">
        <v>10</v>
      </c>
      <c r="B1" s="2" t="s">
        <v>13</v>
      </c>
      <c r="C1" s="2" t="s">
        <v>12</v>
      </c>
      <c r="D1" s="2" t="s">
        <v>14</v>
      </c>
    </row>
    <row r="2" spans="1:4" x14ac:dyDescent="0.2">
      <c r="A2" s="5" t="s">
        <v>46</v>
      </c>
      <c r="B2" s="5" t="s">
        <v>16</v>
      </c>
      <c r="C2" s="5" t="s">
        <v>69</v>
      </c>
      <c r="D2" s="5" t="s">
        <v>18</v>
      </c>
    </row>
    <row r="3" spans="1:4" x14ac:dyDescent="0.2">
      <c r="A3" s="5" t="s">
        <v>47</v>
      </c>
      <c r="B3" s="5" t="s">
        <v>17</v>
      </c>
      <c r="C3" s="5" t="s">
        <v>1</v>
      </c>
      <c r="D3" s="5" t="s">
        <v>7</v>
      </c>
    </row>
    <row r="4" spans="1:4" x14ac:dyDescent="0.2">
      <c r="A4" s="5" t="s">
        <v>48</v>
      </c>
      <c r="B4" s="5" t="s">
        <v>70</v>
      </c>
      <c r="C4" s="5" t="s">
        <v>71</v>
      </c>
      <c r="D4" s="5" t="s">
        <v>8</v>
      </c>
    </row>
    <row r="5" spans="1:4" x14ac:dyDescent="0.2">
      <c r="A5" s="5" t="s">
        <v>49</v>
      </c>
      <c r="B5" s="5" t="s">
        <v>72</v>
      </c>
      <c r="C5" s="5" t="s">
        <v>73</v>
      </c>
      <c r="D5" s="5" t="s">
        <v>74</v>
      </c>
    </row>
    <row r="6" spans="1:4" x14ac:dyDescent="0.2">
      <c r="A6" s="5" t="s">
        <v>50</v>
      </c>
      <c r="B6" s="5" t="s">
        <v>32</v>
      </c>
      <c r="C6" s="5" t="s">
        <v>21</v>
      </c>
      <c r="D6" s="5" t="s">
        <v>22</v>
      </c>
    </row>
    <row r="7" spans="1:4" x14ac:dyDescent="0.2">
      <c r="A7" s="5" t="s">
        <v>51</v>
      </c>
      <c r="B7" s="5" t="s">
        <v>15</v>
      </c>
      <c r="C7" s="5" t="s">
        <v>5</v>
      </c>
      <c r="D7" s="5" t="s">
        <v>75</v>
      </c>
    </row>
    <row r="8" spans="1:4" x14ac:dyDescent="0.2">
      <c r="A8" s="5" t="s">
        <v>52</v>
      </c>
      <c r="B8" s="5" t="s">
        <v>43</v>
      </c>
      <c r="C8" s="5" t="s">
        <v>44</v>
      </c>
      <c r="D8" s="5" t="s">
        <v>76</v>
      </c>
    </row>
    <row r="9" spans="1:4" x14ac:dyDescent="0.2">
      <c r="A9" s="5" t="s">
        <v>53</v>
      </c>
      <c r="B9" s="5" t="s">
        <v>31</v>
      </c>
      <c r="C9" s="5" t="s">
        <v>19</v>
      </c>
      <c r="D9" s="5" t="s">
        <v>20</v>
      </c>
    </row>
    <row r="10" spans="1:4" x14ac:dyDescent="0.2">
      <c r="A10" s="5" t="s">
        <v>54</v>
      </c>
      <c r="B10" s="5" t="s">
        <v>38</v>
      </c>
      <c r="C10" s="5" t="s">
        <v>28</v>
      </c>
      <c r="D10" s="5" t="s">
        <v>4</v>
      </c>
    </row>
    <row r="11" spans="1:4" x14ac:dyDescent="0.2">
      <c r="A11" s="5" t="s">
        <v>55</v>
      </c>
      <c r="B11" s="5" t="s">
        <v>34</v>
      </c>
      <c r="C11" s="5" t="s">
        <v>23</v>
      </c>
      <c r="D11" s="5" t="s">
        <v>2</v>
      </c>
    </row>
    <row r="12" spans="1:4" x14ac:dyDescent="0.2">
      <c r="A12" s="5" t="s">
        <v>56</v>
      </c>
      <c r="B12" s="5" t="s">
        <v>33</v>
      </c>
      <c r="C12" s="5" t="s">
        <v>3</v>
      </c>
      <c r="D12" s="5" t="s">
        <v>77</v>
      </c>
    </row>
    <row r="13" spans="1:4" x14ac:dyDescent="0.2">
      <c r="A13" s="5" t="s">
        <v>57</v>
      </c>
      <c r="B13" s="5" t="s">
        <v>45</v>
      </c>
      <c r="C13" s="5" t="s">
        <v>78</v>
      </c>
      <c r="D13" s="5" t="s">
        <v>79</v>
      </c>
    </row>
    <row r="14" spans="1:4" x14ac:dyDescent="0.2">
      <c r="A14" s="5" t="s">
        <v>58</v>
      </c>
      <c r="B14" s="5" t="s">
        <v>39</v>
      </c>
      <c r="C14" s="5" t="s">
        <v>80</v>
      </c>
      <c r="D14" s="5" t="s">
        <v>6</v>
      </c>
    </row>
    <row r="15" spans="1:4" x14ac:dyDescent="0.2">
      <c r="A15" s="5" t="s">
        <v>59</v>
      </c>
      <c r="B15" s="5" t="s">
        <v>40</v>
      </c>
      <c r="C15" s="5" t="s">
        <v>81</v>
      </c>
      <c r="D15" s="5" t="s">
        <v>82</v>
      </c>
    </row>
    <row r="16" spans="1:4" x14ac:dyDescent="0.2">
      <c r="A16" s="5" t="s">
        <v>60</v>
      </c>
      <c r="B16" s="5" t="s">
        <v>42</v>
      </c>
      <c r="C16" s="5" t="s">
        <v>83</v>
      </c>
      <c r="D16" s="5" t="s">
        <v>84</v>
      </c>
    </row>
    <row r="17" spans="1:4" x14ac:dyDescent="0.2">
      <c r="A17" s="5" t="s">
        <v>61</v>
      </c>
      <c r="B17" s="5" t="s">
        <v>37</v>
      </c>
      <c r="C17" s="5" t="s">
        <v>9</v>
      </c>
      <c r="D17" s="5" t="s">
        <v>6</v>
      </c>
    </row>
    <row r="18" spans="1:4" x14ac:dyDescent="0.2">
      <c r="A18" s="5" t="s">
        <v>62</v>
      </c>
      <c r="B18" s="5" t="s">
        <v>41</v>
      </c>
      <c r="C18" s="5" t="s">
        <v>85</v>
      </c>
      <c r="D18" s="5" t="s">
        <v>86</v>
      </c>
    </row>
    <row r="19" spans="1:4" x14ac:dyDescent="0.2">
      <c r="A19" s="5" t="s">
        <v>63</v>
      </c>
      <c r="B19" s="5" t="s">
        <v>35</v>
      </c>
      <c r="C19" s="5" t="s">
        <v>24</v>
      </c>
      <c r="D19" s="5" t="s">
        <v>25</v>
      </c>
    </row>
    <row r="20" spans="1:4" x14ac:dyDescent="0.2">
      <c r="A20" s="5" t="s">
        <v>64</v>
      </c>
      <c r="B20" s="5" t="s">
        <v>30</v>
      </c>
      <c r="C20" s="5" t="s">
        <v>0</v>
      </c>
      <c r="D20" s="5" t="s">
        <v>87</v>
      </c>
    </row>
    <row r="21" spans="1:4" x14ac:dyDescent="0.2">
      <c r="A21" s="5" t="s">
        <v>65</v>
      </c>
      <c r="B21" s="5" t="s">
        <v>88</v>
      </c>
      <c r="C21" s="5" t="s">
        <v>89</v>
      </c>
      <c r="D21" s="5" t="s">
        <v>90</v>
      </c>
    </row>
    <row r="22" spans="1:4" x14ac:dyDescent="0.2">
      <c r="A22" s="5" t="s">
        <v>66</v>
      </c>
      <c r="B22" s="5" t="s">
        <v>29</v>
      </c>
      <c r="C22" s="5" t="s">
        <v>91</v>
      </c>
      <c r="D22" s="5" t="s">
        <v>92</v>
      </c>
    </row>
    <row r="23" spans="1:4" x14ac:dyDescent="0.2">
      <c r="A23" s="5" t="s">
        <v>67</v>
      </c>
      <c r="B23" s="5" t="s">
        <v>93</v>
      </c>
      <c r="C23" s="5" t="s">
        <v>94</v>
      </c>
      <c r="D23" s="5" t="s">
        <v>95</v>
      </c>
    </row>
    <row r="24" spans="1:4" x14ac:dyDescent="0.2">
      <c r="A24" s="5" t="s">
        <v>68</v>
      </c>
      <c r="B24" s="5" t="s">
        <v>36</v>
      </c>
      <c r="C24" s="5" t="s">
        <v>26</v>
      </c>
      <c r="D24" s="5" t="s">
        <v>27</v>
      </c>
    </row>
  </sheetData>
  <phoneticPr fontId="8" type="noConversion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24"/>
  <sheetViews>
    <sheetView showGridLines="0" tabSelected="1" workbookViewId="0">
      <selection activeCell="D3" sqref="D3"/>
    </sheetView>
  </sheetViews>
  <sheetFormatPr defaultRowHeight="14.25" x14ac:dyDescent="0.2"/>
  <cols>
    <col min="1" max="1" width="18.28515625" style="7" bestFit="1" customWidth="1"/>
    <col min="2" max="2" width="12.28515625" style="7" bestFit="1" customWidth="1"/>
    <col min="3" max="3" width="17" style="7" bestFit="1" customWidth="1"/>
    <col min="4" max="4" width="38" style="4" bestFit="1" customWidth="1"/>
    <col min="5" max="5" width="26.85546875" style="4" bestFit="1" customWidth="1"/>
    <col min="6" max="6" width="9.140625" style="4"/>
    <col min="7" max="7" width="24.7109375" style="4" customWidth="1"/>
    <col min="8" max="8" width="13.42578125" style="4" customWidth="1"/>
    <col min="9" max="9" width="11.7109375" style="4" customWidth="1"/>
    <col min="10" max="16384" width="9.140625" style="4"/>
  </cols>
  <sheetData>
    <row r="1" spans="1:5" ht="18.75" customHeight="1" x14ac:dyDescent="0.2">
      <c r="A1" s="2" t="s">
        <v>13</v>
      </c>
      <c r="B1" s="2" t="s">
        <v>12</v>
      </c>
      <c r="C1" s="2" t="s">
        <v>14</v>
      </c>
      <c r="D1" s="3" t="s">
        <v>10</v>
      </c>
      <c r="E1" s="3" t="s">
        <v>157</v>
      </c>
    </row>
    <row r="2" spans="1:5" x14ac:dyDescent="0.2">
      <c r="A2" s="5" t="s">
        <v>16</v>
      </c>
      <c r="B2" s="5" t="s">
        <v>69</v>
      </c>
      <c r="C2" s="5" t="s">
        <v>18</v>
      </c>
      <c r="D2" s="5" t="s">
        <v>182</v>
      </c>
      <c r="E2" s="6" t="s">
        <v>159</v>
      </c>
    </row>
    <row r="3" spans="1:5" x14ac:dyDescent="0.2">
      <c r="A3" s="5" t="s">
        <v>17</v>
      </c>
      <c r="B3" s="5" t="s">
        <v>1</v>
      </c>
      <c r="C3" s="5" t="s">
        <v>7</v>
      </c>
      <c r="D3" s="5" t="s">
        <v>183</v>
      </c>
      <c r="E3" s="6" t="s">
        <v>160</v>
      </c>
    </row>
    <row r="4" spans="1:5" x14ac:dyDescent="0.2">
      <c r="A4" s="5" t="s">
        <v>70</v>
      </c>
      <c r="B4" s="5" t="s">
        <v>71</v>
      </c>
      <c r="C4" s="5" t="s">
        <v>8</v>
      </c>
      <c r="D4" s="5" t="s">
        <v>184</v>
      </c>
      <c r="E4" s="6" t="s">
        <v>161</v>
      </c>
    </row>
    <row r="5" spans="1:5" x14ac:dyDescent="0.2">
      <c r="A5" s="5" t="s">
        <v>72</v>
      </c>
      <c r="B5" s="5" t="s">
        <v>73</v>
      </c>
      <c r="C5" s="5" t="s">
        <v>74</v>
      </c>
      <c r="D5" s="5" t="s">
        <v>185</v>
      </c>
      <c r="E5" s="6" t="s">
        <v>162</v>
      </c>
    </row>
    <row r="6" spans="1:5" x14ac:dyDescent="0.2">
      <c r="A6" s="5" t="s">
        <v>32</v>
      </c>
      <c r="B6" s="5" t="s">
        <v>21</v>
      </c>
      <c r="C6" s="5" t="s">
        <v>22</v>
      </c>
      <c r="D6" s="5" t="s">
        <v>186</v>
      </c>
      <c r="E6" s="6" t="s">
        <v>163</v>
      </c>
    </row>
    <row r="7" spans="1:5" x14ac:dyDescent="0.2">
      <c r="A7" s="5" t="s">
        <v>15</v>
      </c>
      <c r="B7" s="5" t="s">
        <v>5</v>
      </c>
      <c r="C7" s="5" t="s">
        <v>75</v>
      </c>
      <c r="D7" s="5" t="s">
        <v>187</v>
      </c>
      <c r="E7" s="6" t="s">
        <v>164</v>
      </c>
    </row>
    <row r="8" spans="1:5" x14ac:dyDescent="0.2">
      <c r="A8" s="5" t="s">
        <v>43</v>
      </c>
      <c r="B8" s="5" t="s">
        <v>44</v>
      </c>
      <c r="C8" s="5" t="s">
        <v>76</v>
      </c>
      <c r="D8" s="5" t="s">
        <v>188</v>
      </c>
      <c r="E8" s="6" t="s">
        <v>165</v>
      </c>
    </row>
    <row r="9" spans="1:5" x14ac:dyDescent="0.2">
      <c r="A9" s="5" t="s">
        <v>31</v>
      </c>
      <c r="B9" s="5" t="s">
        <v>19</v>
      </c>
      <c r="C9" s="5" t="s">
        <v>20</v>
      </c>
      <c r="D9" s="5" t="s">
        <v>189</v>
      </c>
      <c r="E9" s="6" t="s">
        <v>166</v>
      </c>
    </row>
    <row r="10" spans="1:5" x14ac:dyDescent="0.2">
      <c r="A10" s="5" t="s">
        <v>38</v>
      </c>
      <c r="B10" s="5" t="s">
        <v>28</v>
      </c>
      <c r="C10" s="5" t="s">
        <v>4</v>
      </c>
      <c r="D10" s="5" t="s">
        <v>190</v>
      </c>
      <c r="E10" s="6" t="s">
        <v>167</v>
      </c>
    </row>
    <row r="11" spans="1:5" x14ac:dyDescent="0.2">
      <c r="A11" s="5" t="s">
        <v>34</v>
      </c>
      <c r="B11" s="5" t="s">
        <v>23</v>
      </c>
      <c r="C11" s="5" t="s">
        <v>2</v>
      </c>
      <c r="D11" s="5" t="s">
        <v>191</v>
      </c>
      <c r="E11" s="6" t="s">
        <v>168</v>
      </c>
    </row>
    <row r="12" spans="1:5" x14ac:dyDescent="0.2">
      <c r="A12" s="5" t="s">
        <v>33</v>
      </c>
      <c r="B12" s="5" t="s">
        <v>3</v>
      </c>
      <c r="C12" s="5" t="s">
        <v>77</v>
      </c>
      <c r="D12" s="5" t="s">
        <v>192</v>
      </c>
      <c r="E12" s="6" t="s">
        <v>169</v>
      </c>
    </row>
    <row r="13" spans="1:5" x14ac:dyDescent="0.2">
      <c r="A13" s="5" t="s">
        <v>45</v>
      </c>
      <c r="B13" s="5" t="s">
        <v>78</v>
      </c>
      <c r="C13" s="5" t="s">
        <v>79</v>
      </c>
      <c r="D13" s="5" t="s">
        <v>193</v>
      </c>
      <c r="E13" s="6" t="s">
        <v>170</v>
      </c>
    </row>
    <row r="14" spans="1:5" x14ac:dyDescent="0.2">
      <c r="A14" s="5" t="s">
        <v>39</v>
      </c>
      <c r="B14" s="5" t="s">
        <v>80</v>
      </c>
      <c r="C14" s="5" t="s">
        <v>6</v>
      </c>
      <c r="D14" s="5" t="s">
        <v>194</v>
      </c>
      <c r="E14" s="6" t="s">
        <v>171</v>
      </c>
    </row>
    <row r="15" spans="1:5" x14ac:dyDescent="0.2">
      <c r="A15" s="5" t="s">
        <v>40</v>
      </c>
      <c r="B15" s="5" t="s">
        <v>81</v>
      </c>
      <c r="C15" s="5" t="s">
        <v>82</v>
      </c>
      <c r="D15" s="5" t="s">
        <v>195</v>
      </c>
      <c r="E15" s="6" t="s">
        <v>172</v>
      </c>
    </row>
    <row r="16" spans="1:5" x14ac:dyDescent="0.2">
      <c r="A16" s="5" t="s">
        <v>42</v>
      </c>
      <c r="B16" s="5" t="s">
        <v>83</v>
      </c>
      <c r="C16" s="5" t="s">
        <v>84</v>
      </c>
      <c r="D16" s="5" t="s">
        <v>196</v>
      </c>
      <c r="E16" s="6" t="s">
        <v>173</v>
      </c>
    </row>
    <row r="17" spans="1:5" x14ac:dyDescent="0.2">
      <c r="A17" s="5" t="s">
        <v>37</v>
      </c>
      <c r="B17" s="5" t="s">
        <v>9</v>
      </c>
      <c r="C17" s="5" t="s">
        <v>6</v>
      </c>
      <c r="D17" s="5" t="s">
        <v>197</v>
      </c>
      <c r="E17" s="6" t="s">
        <v>174</v>
      </c>
    </row>
    <row r="18" spans="1:5" x14ac:dyDescent="0.2">
      <c r="A18" s="5" t="s">
        <v>41</v>
      </c>
      <c r="B18" s="5" t="s">
        <v>85</v>
      </c>
      <c r="C18" s="5" t="s">
        <v>86</v>
      </c>
      <c r="D18" s="5" t="s">
        <v>198</v>
      </c>
      <c r="E18" s="6" t="s">
        <v>175</v>
      </c>
    </row>
    <row r="19" spans="1:5" x14ac:dyDescent="0.2">
      <c r="A19" s="5" t="s">
        <v>35</v>
      </c>
      <c r="B19" s="5" t="s">
        <v>24</v>
      </c>
      <c r="C19" s="5" t="s">
        <v>25</v>
      </c>
      <c r="D19" s="5" t="s">
        <v>199</v>
      </c>
      <c r="E19" s="6" t="s">
        <v>176</v>
      </c>
    </row>
    <row r="20" spans="1:5" x14ac:dyDescent="0.2">
      <c r="A20" s="5" t="s">
        <v>30</v>
      </c>
      <c r="B20" s="5" t="s">
        <v>0</v>
      </c>
      <c r="C20" s="5" t="s">
        <v>87</v>
      </c>
      <c r="D20" s="5" t="s">
        <v>200</v>
      </c>
      <c r="E20" s="6" t="s">
        <v>177</v>
      </c>
    </row>
    <row r="21" spans="1:5" x14ac:dyDescent="0.2">
      <c r="A21" s="5" t="s">
        <v>88</v>
      </c>
      <c r="B21" s="5" t="s">
        <v>89</v>
      </c>
      <c r="C21" s="5" t="s">
        <v>90</v>
      </c>
      <c r="D21" s="5" t="s">
        <v>201</v>
      </c>
      <c r="E21" s="6" t="s">
        <v>178</v>
      </c>
    </row>
    <row r="22" spans="1:5" x14ac:dyDescent="0.2">
      <c r="A22" s="5" t="s">
        <v>29</v>
      </c>
      <c r="B22" s="5" t="s">
        <v>91</v>
      </c>
      <c r="C22" s="5" t="s">
        <v>92</v>
      </c>
      <c r="D22" s="5" t="s">
        <v>202</v>
      </c>
      <c r="E22" s="6" t="s">
        <v>179</v>
      </c>
    </row>
    <row r="23" spans="1:5" x14ac:dyDescent="0.2">
      <c r="A23" s="5" t="s">
        <v>93</v>
      </c>
      <c r="B23" s="5" t="s">
        <v>94</v>
      </c>
      <c r="C23" s="5" t="s">
        <v>95</v>
      </c>
      <c r="D23" s="5" t="s">
        <v>203</v>
      </c>
      <c r="E23" s="6" t="s">
        <v>180</v>
      </c>
    </row>
    <row r="24" spans="1:5" x14ac:dyDescent="0.2">
      <c r="A24" s="5" t="s">
        <v>36</v>
      </c>
      <c r="B24" s="5" t="s">
        <v>26</v>
      </c>
      <c r="C24" s="5" t="s">
        <v>27</v>
      </c>
      <c r="D24" s="5" t="s">
        <v>204</v>
      </c>
      <c r="E24" s="6" t="s">
        <v>181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  <vt:lpstr>ЗАДАНИЕ7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2006-07-26T19:53:09Z</dcterms:created>
  <dcterms:modified xsi:type="dcterms:W3CDTF">2014-02-08T08:18:56Z</dcterms:modified>
</cp:coreProperties>
</file>