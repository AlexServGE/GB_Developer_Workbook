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ЭКСЕЛЬ2 1-15 фев 2014\"/>
    </mc:Choice>
  </mc:AlternateContent>
  <bookViews>
    <workbookView xWindow="-15" yWindow="-15" windowWidth="20520" windowHeight="3825" activeTab="3"/>
  </bookViews>
  <sheets>
    <sheet name="ЗАДАНИЕ1" sheetId="34" r:id="rId1"/>
    <sheet name="ЗАДАНИЕ2" sheetId="32" r:id="rId2"/>
    <sheet name="ЗАДАНИЕ3" sheetId="33" r:id="rId3"/>
    <sheet name="ЗАДАНИЕ4" sheetId="16" r:id="rId4"/>
  </sheets>
  <externalReferences>
    <externalReference r:id="rId5"/>
    <externalReference r:id="rId6"/>
  </externalReferences>
  <definedNames>
    <definedName name="__IntlFixup" hidden="1">TRUE</definedName>
    <definedName name="AccessDatabase" hidden="1">"C:\My Documents\MAUI MALL1.mdb"</definedName>
    <definedName name="ACwvu.CapersView." localSheetId="2" hidden="1">[1]MASTER!#REF!</definedName>
    <definedName name="ACwvu.CapersView." hidden="1">[1]MASTER!#REF!</definedName>
    <definedName name="ACwvu.Japan_Capers_Ed_Pub." hidden="1">'[2]THREE VARIABLES'!$N$1:$V$165</definedName>
    <definedName name="ACwvu.KJP_CC." hidden="1">'[2]THREE VARIABLES'!$N$4:$U$165</definedName>
    <definedName name="Cwvu.CapersView." localSheetId="2" hidden="1">[1]MASTER!#REF!</definedName>
    <definedName name="Cwvu.CapersView." hidden="1">[1]MASTER!#REF!</definedName>
    <definedName name="Cwvu.Japan_Capers_Ed_Pub." localSheetId="2" hidden="1">[1]MASTER!#REF!</definedName>
    <definedName name="Cwvu.Japan_Capers_Ed_Pub." hidden="1">[1]MASTER!#REF!</definedName>
    <definedName name="Cwvu.KJP_CC." localSheetId="2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hidden="1">'[2]THREE VARIABLES'!$A$1:$M$65536</definedName>
    <definedName name="Rwvu.Japan_Capers_Ed_Pub." hidden="1">'[2]THREE VARIABLES'!$A$1:$M$65536</definedName>
    <definedName name="Rwvu.KJP_CC." hidden="1">'[2]THREE VARIABLES'!$A$1:$M$65536</definedName>
    <definedName name="Swvu.CapersView." localSheetId="2" hidden="1">[1]MASTER!#REF!</definedName>
    <definedName name="Swvu.CapersView." hidden="1">[1]MASTER!#REF!</definedName>
    <definedName name="Swvu.Japan_Capers_Ed_Pub." hidden="1">'[2]THREE VARIABLES'!$N$1:$V$165</definedName>
    <definedName name="Swvu.KJP_CC." hidden="1">'[2]THREE VARIABLES'!$N$4:$U$165</definedName>
    <definedName name="wrn.CapersPlotter." hidden="1">{#N/A,#N/A,FALSE,"DI 2 YEAR MASTER SCHEDULE"}</definedName>
    <definedName name="wrn.Edutainment._.Priority._.List." hidden="1">{#N/A,#N/A,FALSE,"DI 2 YEAR MASTER SCHEDULE"}</definedName>
    <definedName name="wrn.Japan_Capers_Ed._.Pub." hidden="1">{"Japan_Capers_Ed_Pub",#N/A,FALSE,"DI 2 YEAR MASTER SCHEDULE"}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RTERLY._.VIEW." hidden="1">{"QUARTERLY VIEW",#N/A,FALSE,"YEAR TOTAL"}</definedName>
    <definedName name="wrn.YEAR._.VIEW." hidden="1">{#N/A,#N/A,FALSE,"YEAR TOTAL"}</definedName>
    <definedName name="wrn.отчет._.по._.курсу." localSheetId="3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hidden="1">'[2]THREE VARIABLES'!$N$4:$S$5</definedName>
    <definedName name="Z_9A428CE1_B4D9_11D0_A8AA_0000C071AEE7_.wvu.Rows" localSheetId="2" hidden="1">[1]MASTER!#REF!,[1]MASTER!#REF!,[1]MASTER!#REF!,[1]MASTER!#REF!,[1]MASTER!#REF!,[1]MASTER!#REF!,[1]MASTER!#REF!,[1]MASTER!$A$98:$IV$272</definedName>
    <definedName name="Z_9A428CE1_B4D9_11D0_A8AA_0000C071AEE7_.wvu.Rows" hidden="1">[1]MASTER!#REF!,[1]MASTER!#REF!,[1]MASTER!#REF!,[1]MASTER!#REF!,[1]MASTER!#REF!,[1]MASTER!#REF!,[1]MASTER!#REF!,[1]MASTER!$A$98:$IV$272</definedName>
    <definedName name="вв" localSheetId="3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</definedNames>
  <calcPr calcId="152511"/>
</workbook>
</file>

<file path=xl/calcChain.xml><?xml version="1.0" encoding="utf-8"?>
<calcChain xmlns="http://schemas.openxmlformats.org/spreadsheetml/2006/main">
  <c r="H3" i="16" l="1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2" i="16"/>
  <c r="G2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2" i="16"/>
  <c r="F4" i="33"/>
  <c r="F5" i="33"/>
  <c r="F6" i="33"/>
  <c r="F7" i="33"/>
  <c r="F8" i="33"/>
  <c r="F9" i="33"/>
  <c r="F10" i="33"/>
  <c r="F11" i="33"/>
  <c r="F12" i="33"/>
  <c r="F3" i="33"/>
  <c r="E4" i="33"/>
  <c r="E5" i="33"/>
  <c r="E6" i="33"/>
  <c r="E7" i="33"/>
  <c r="E8" i="33"/>
  <c r="E9" i="33"/>
  <c r="E10" i="33"/>
  <c r="E11" i="33"/>
  <c r="E12" i="33"/>
  <c r="E3" i="33"/>
  <c r="D3" i="32"/>
  <c r="D4" i="32"/>
  <c r="D5" i="32"/>
  <c r="D6" i="32"/>
  <c r="D7" i="32"/>
  <c r="D8" i="32"/>
  <c r="D9" i="32"/>
  <c r="D10" i="32"/>
  <c r="D11" i="32"/>
  <c r="D2" i="32"/>
  <c r="C3" i="32"/>
  <c r="C4" i="32"/>
  <c r="C5" i="32"/>
  <c r="C6" i="32"/>
  <c r="C7" i="32"/>
  <c r="C8" i="32"/>
  <c r="C9" i="32"/>
  <c r="C10" i="32"/>
  <c r="C11" i="32"/>
  <c r="C2" i="32"/>
  <c r="C4" i="34"/>
  <c r="C2" i="34"/>
  <c r="J1" i="16" l="1"/>
</calcChain>
</file>

<file path=xl/sharedStrings.xml><?xml version="1.0" encoding="utf-8"?>
<sst xmlns="http://schemas.openxmlformats.org/spreadsheetml/2006/main" count="192" uniqueCount="173">
  <si>
    <t>Фамилия</t>
  </si>
  <si>
    <t>Имя</t>
  </si>
  <si>
    <t>Отчество</t>
  </si>
  <si>
    <t>Ангелочкин</t>
  </si>
  <si>
    <t>Антон</t>
  </si>
  <si>
    <t>Алексеевич</t>
  </si>
  <si>
    <t>Везунчиков</t>
  </si>
  <si>
    <t>Виктор</t>
  </si>
  <si>
    <t>Васильевич</t>
  </si>
  <si>
    <t>Веселый</t>
  </si>
  <si>
    <t>Василий</t>
  </si>
  <si>
    <t>Викторович</t>
  </si>
  <si>
    <t>Добрейший</t>
  </si>
  <si>
    <t>Даниил</t>
  </si>
  <si>
    <t>Дмитриевич</t>
  </si>
  <si>
    <t>Добрецов</t>
  </si>
  <si>
    <t>Денис</t>
  </si>
  <si>
    <t>Давидович</t>
  </si>
  <si>
    <t>Душечкин</t>
  </si>
  <si>
    <t>Дмитрий</t>
  </si>
  <si>
    <t>Данилович</t>
  </si>
  <si>
    <t>Замечательная</t>
  </si>
  <si>
    <t>Зинаида</t>
  </si>
  <si>
    <t>Захаровна</t>
  </si>
  <si>
    <t>Красавцев</t>
  </si>
  <si>
    <t>Константин</t>
  </si>
  <si>
    <t>Кириллович</t>
  </si>
  <si>
    <t>Мирный</t>
  </si>
  <si>
    <t>Максим</t>
  </si>
  <si>
    <t>Михайлович</t>
  </si>
  <si>
    <t>Неунывающий</t>
  </si>
  <si>
    <t>Никита</t>
  </si>
  <si>
    <t>Николаевич</t>
  </si>
  <si>
    <t>Оптимистов</t>
  </si>
  <si>
    <t>Олег</t>
  </si>
  <si>
    <t>Осипович</t>
  </si>
  <si>
    <t>Олеговна</t>
  </si>
  <si>
    <t>Отличницева</t>
  </si>
  <si>
    <t>Оксана</t>
  </si>
  <si>
    <t>Полина</t>
  </si>
  <si>
    <t>Платоновна</t>
  </si>
  <si>
    <t>Позитивов</t>
  </si>
  <si>
    <t>Платон</t>
  </si>
  <si>
    <t>Петрович</t>
  </si>
  <si>
    <t>Павел</t>
  </si>
  <si>
    <t>Праздникова</t>
  </si>
  <si>
    <t>Павловна</t>
  </si>
  <si>
    <t>Прекрасная</t>
  </si>
  <si>
    <t>Пелагея</t>
  </si>
  <si>
    <t>Приятный</t>
  </si>
  <si>
    <t>Радостная</t>
  </si>
  <si>
    <t>Раиса</t>
  </si>
  <si>
    <t>Романовна</t>
  </si>
  <si>
    <t>Радостный</t>
  </si>
  <si>
    <t>Роман</t>
  </si>
  <si>
    <t>Русланович</t>
  </si>
  <si>
    <t>Счастливцев</t>
  </si>
  <si>
    <t>Сергей</t>
  </si>
  <si>
    <t>Семенович</t>
  </si>
  <si>
    <t>Толерантная</t>
  </si>
  <si>
    <t>Таисия</t>
  </si>
  <si>
    <t>Тихоновна</t>
  </si>
  <si>
    <t>Удальцов</t>
  </si>
  <si>
    <t>Устин</t>
  </si>
  <si>
    <t>Устинович</t>
  </si>
  <si>
    <t>Улыбочкина</t>
  </si>
  <si>
    <t>Ульяна</t>
  </si>
  <si>
    <t>Устиновна</t>
  </si>
  <si>
    <t>Хороших</t>
  </si>
  <si>
    <t>Харитон</t>
  </si>
  <si>
    <t>Харитонович</t>
  </si>
  <si>
    <t>СЕГОДНЯ</t>
  </si>
  <si>
    <t>ТЕКУЩАЯ ДАТА</t>
  </si>
  <si>
    <t>Номер заказа</t>
  </si>
  <si>
    <t>VIP 001</t>
  </si>
  <si>
    <t>VIP 002</t>
  </si>
  <si>
    <t>VIP 003</t>
  </si>
  <si>
    <t>VIP 004</t>
  </si>
  <si>
    <t>VIP 005</t>
  </si>
  <si>
    <t>VIP 006</t>
  </si>
  <si>
    <t>VIP 007</t>
  </si>
  <si>
    <t>VIP 008</t>
  </si>
  <si>
    <t>VIP 009</t>
  </si>
  <si>
    <t>VIP 010</t>
  </si>
  <si>
    <t>Дата выдачи</t>
  </si>
  <si>
    <t>Дата оформления</t>
  </si>
  <si>
    <t>Дата изготовления</t>
  </si>
  <si>
    <t>Дата начала</t>
  </si>
  <si>
    <t>Дата окончания</t>
  </si>
  <si>
    <t>календарные</t>
  </si>
  <si>
    <t>рабочие</t>
  </si>
  <si>
    <t>Название проекта</t>
  </si>
  <si>
    <t>проект 1</t>
  </si>
  <si>
    <t>проект 2</t>
  </si>
  <si>
    <t>проект 3</t>
  </si>
  <si>
    <t>проект 4</t>
  </si>
  <si>
    <t>проект 5</t>
  </si>
  <si>
    <t>проект 6</t>
  </si>
  <si>
    <t>проект 7</t>
  </si>
  <si>
    <t>проект 8</t>
  </si>
  <si>
    <t>проект 9</t>
  </si>
  <si>
    <t>проект 10</t>
  </si>
  <si>
    <t>Длительность, дни</t>
  </si>
  <si>
    <t>№</t>
  </si>
  <si>
    <t>Дата рождения</t>
  </si>
  <si>
    <t>Ангелочкина</t>
  </si>
  <si>
    <t>Анна</t>
  </si>
  <si>
    <t>Алексеевна</t>
  </si>
  <si>
    <t>Везунчикова</t>
  </si>
  <si>
    <t>Вера</t>
  </si>
  <si>
    <t>Васильевна</t>
  </si>
  <si>
    <t>Веселая</t>
  </si>
  <si>
    <t>Валентина</t>
  </si>
  <si>
    <t>Викторовна</t>
  </si>
  <si>
    <t>Добрецова</t>
  </si>
  <si>
    <t>Дарья</t>
  </si>
  <si>
    <t>Дмитриевна</t>
  </si>
  <si>
    <t>Душечкина</t>
  </si>
  <si>
    <t>Дина</t>
  </si>
  <si>
    <t>Замечательный</t>
  </si>
  <si>
    <t>Захар</t>
  </si>
  <si>
    <t>Захарович</t>
  </si>
  <si>
    <t>Любовь</t>
  </si>
  <si>
    <t>Леонид</t>
  </si>
  <si>
    <t>Леонидович</t>
  </si>
  <si>
    <t>Лариса</t>
  </si>
  <si>
    <t>Леонтьевна</t>
  </si>
  <si>
    <t>Мирная</t>
  </si>
  <si>
    <t>Марина</t>
  </si>
  <si>
    <t>Максимовна</t>
  </si>
  <si>
    <t>Неунывающая</t>
  </si>
  <si>
    <t>Нина</t>
  </si>
  <si>
    <t>Николаевна</t>
  </si>
  <si>
    <t>Оптимистова</t>
  </si>
  <si>
    <t>Ольга</t>
  </si>
  <si>
    <t>Позитивная</t>
  </si>
  <si>
    <t>Праздников</t>
  </si>
  <si>
    <t>Платонович</t>
  </si>
  <si>
    <t>Прекрасный</t>
  </si>
  <si>
    <t>Петр</t>
  </si>
  <si>
    <t>Павлович</t>
  </si>
  <si>
    <t>Рената</t>
  </si>
  <si>
    <t>Руслановна</t>
  </si>
  <si>
    <t>Радостнов</t>
  </si>
  <si>
    <t>Руслан</t>
  </si>
  <si>
    <t>Романович</t>
  </si>
  <si>
    <t>Романтичный</t>
  </si>
  <si>
    <t>Станислав</t>
  </si>
  <si>
    <t>Счастливцева</t>
  </si>
  <si>
    <t>Светлана</t>
  </si>
  <si>
    <t>Сергеевна</t>
  </si>
  <si>
    <t>Толерантный</t>
  </si>
  <si>
    <t>Тимофей</t>
  </si>
  <si>
    <t>Трофимович</t>
  </si>
  <si>
    <t>Хорошая</t>
  </si>
  <si>
    <t>Христина</t>
  </si>
  <si>
    <t>Харитоновна</t>
  </si>
  <si>
    <t>Юбилейный</t>
  </si>
  <si>
    <t>Юрий</t>
  </si>
  <si>
    <t>Юрьевич</t>
  </si>
  <si>
    <t>Юркая</t>
  </si>
  <si>
    <t>Юлия</t>
  </si>
  <si>
    <t>Юрьевна</t>
  </si>
  <si>
    <t>Ясная</t>
  </si>
  <si>
    <t>Яна</t>
  </si>
  <si>
    <t>Яковлевна</t>
  </si>
  <si>
    <t>Ясный</t>
  </si>
  <si>
    <t>Яков</t>
  </si>
  <si>
    <t>Яковлевич</t>
  </si>
  <si>
    <t>№ п/п</t>
  </si>
  <si>
    <t>Года</t>
  </si>
  <si>
    <t>Месяца</t>
  </si>
  <si>
    <t>Дни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</si>
</sst>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* #,##0&quot;р.&quot;_-;\-* #,##0&quot;р.&quot;_-;_-* &quot;-&quot;&quot;р.&quot;_-;_-@_-"/>
    <numFmt numFmtId="44" formatCode="_-* #,##0.00&quot;р.&quot;_-;\-* #,##0.00&quot;р.&quot;_-;_-* &quot;-&quot;??&quot;р.&quot;_-;_-@_-"/>
    <numFmt numFmtId="164" formatCode="_-* #,##0\ _р_._-;\-* #,##0\ _р_._-;_-* &quot;-&quot;\ _р_._-;_-@_-"/>
    <numFmt numFmtId="165" formatCode="_-* #,##0.00\ _р_._-;\-* #,##0.00\ _р_._-;_-* &quot;-&quot;??\ _р_._-;_-@_-"/>
    <numFmt numFmtId="166" formatCode="dd/mm/yy;@"/>
    <numFmt numFmtId="167" formatCode="_([$€]* #,##0.00_);_([$€]* \(#,##0.00\);_([$€]* &quot;-&quot;??_);_(@_)"/>
  </numFmts>
  <fonts count="9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0"/>
      <name val="Arial"/>
      <family val="2"/>
      <charset val="204"/>
    </font>
    <font>
      <sz val="8"/>
      <name val="Helv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/>
      <diagonal/>
    </border>
    <border>
      <left style="thin">
        <color rgb="FFFF00FF"/>
      </left>
      <right style="thin">
        <color rgb="FFFF00FF"/>
      </right>
      <top/>
      <bottom style="thin">
        <color rgb="FFFF00FF"/>
      </bottom>
      <diagonal/>
    </border>
    <border>
      <left style="thin">
        <color rgb="FFFF00FF"/>
      </left>
      <right/>
      <top style="thin">
        <color rgb="FFFF00FF"/>
      </top>
      <bottom style="thin">
        <color rgb="FFFF00FF"/>
      </bottom>
      <diagonal/>
    </border>
    <border>
      <left/>
      <right style="thin">
        <color rgb="FFFF00FF"/>
      </right>
      <top style="thin">
        <color rgb="FFFF00FF"/>
      </top>
      <bottom style="thin">
        <color rgb="FFFF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57">
    <xf numFmtId="0" fontId="0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4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5" fillId="0" borderId="0"/>
    <xf numFmtId="0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>
      <alignment vertical="justify"/>
    </xf>
    <xf numFmtId="42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28">
    <xf numFmtId="0" fontId="0" fillId="0" borderId="0" xfId="0"/>
    <xf numFmtId="1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2" borderId="1" xfId="0" applyFont="1" applyFill="1" applyBorder="1" applyAlignment="1">
      <alignment horizontal="left" vertical="center" wrapText="1"/>
    </xf>
    <xf numFmtId="14" fontId="8" fillId="0" borderId="1" xfId="0" quotePrefix="1" applyNumberFormat="1" applyFont="1" applyBorder="1" applyAlignment="1">
      <alignment vertical="center"/>
    </xf>
    <xf numFmtId="1" fontId="8" fillId="0" borderId="1" xfId="0" applyNumberFormat="1" applyFont="1" applyBorder="1"/>
    <xf numFmtId="166" fontId="8" fillId="0" borderId="1" xfId="0" applyNumberFormat="1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/>
    <xf numFmtId="1" fontId="8" fillId="0" borderId="0" xfId="0" applyNumberFormat="1" applyFont="1"/>
    <xf numFmtId="0" fontId="8" fillId="0" borderId="0" xfId="0" applyFont="1" applyAlignment="1">
      <alignment horizontal="center"/>
    </xf>
    <xf numFmtId="14" fontId="8" fillId="0" borderId="0" xfId="0" applyNumberFormat="1" applyFont="1"/>
    <xf numFmtId="0" fontId="8" fillId="0" borderId="0" xfId="0" applyNumberFormat="1" applyFont="1"/>
    <xf numFmtId="14" fontId="8" fillId="2" borderId="1" xfId="0" quotePrefix="1" applyNumberFormat="1" applyFont="1" applyFill="1" applyBorder="1"/>
    <xf numFmtId="0" fontId="8" fillId="0" borderId="1" xfId="0" quotePrefix="1" applyFont="1" applyBorder="1"/>
    <xf numFmtId="14" fontId="8" fillId="0" borderId="1" xfId="0" quotePrefix="1" applyNumberFormat="1" applyFont="1" applyBorder="1"/>
    <xf numFmtId="22" fontId="8" fillId="0" borderId="1" xfId="0" quotePrefix="1" applyNumberFormat="1" applyFont="1" applyBorder="1"/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>
      <alignment horizontal="center" vertical="center"/>
    </xf>
    <xf numFmtId="2" fontId="8" fillId="0" borderId="4" xfId="0" applyNumberFormat="1" applyFont="1" applyBorder="1"/>
    <xf numFmtId="1" fontId="8" fillId="0" borderId="6" xfId="0" applyNumberFormat="1" applyFont="1" applyBorder="1"/>
  </cellXfs>
  <cellStyles count="2157">
    <cellStyle name="_3ДМ" xfId="1"/>
    <cellStyle name="_3ДМ_БЕЛ" xfId="2"/>
    <cellStyle name="_3ДМ_РЕЧ" xfId="3"/>
    <cellStyle name="_PRICE" xfId="4"/>
    <cellStyle name="_Август" xfId="5"/>
    <cellStyle name="_Август_Дистанц." xfId="6"/>
    <cellStyle name="_Август_Индив." xfId="7"/>
    <cellStyle name="_АКАД" xfId="8"/>
    <cellStyle name="_АКАД_БЕЛ" xfId="9"/>
    <cellStyle name="_АКАД_РЕЧ" xfId="10"/>
    <cellStyle name="_Апрель" xfId="11"/>
    <cellStyle name="_Апрель_3ДМ" xfId="12"/>
    <cellStyle name="_Апрель_3ДМ_БЕЛ" xfId="13"/>
    <cellStyle name="_Апрель_3ДМ_РЕЧ" xfId="14"/>
    <cellStyle name="_Апрель_Август" xfId="15"/>
    <cellStyle name="_Апрель_Август_Дистанц." xfId="16"/>
    <cellStyle name="_Апрель_Август_Индив." xfId="17"/>
    <cellStyle name="_Апрель_АКАД" xfId="18"/>
    <cellStyle name="_Апрель_АКАД_БЕЛ" xfId="19"/>
    <cellStyle name="_Апрель_АКАД_РЕЧ" xfId="20"/>
    <cellStyle name="_Апрель_Б9560" xfId="21"/>
    <cellStyle name="_Апрель_Б9560_БЕЛ" xfId="22"/>
    <cellStyle name="_Апрель_Б9560_РЕЧ" xfId="23"/>
    <cellStyle name="_Апрель_БЕЛ" xfId="24"/>
    <cellStyle name="_Апрель_БИНТ" xfId="25"/>
    <cellStyle name="_Апрель_БИНТ_БЕЛ" xfId="26"/>
    <cellStyle name="_Апрель_БИНТ_РЕЧ" xfId="27"/>
    <cellStyle name="_Апрель_БУХ" xfId="28"/>
    <cellStyle name="_Апрель_БУХ_БЕЛ" xfId="29"/>
    <cellStyle name="_Апрель_БУХ_РЕЧ" xfId="30"/>
    <cellStyle name="_Апрель_ВЕБДИЗ" xfId="31"/>
    <cellStyle name="_Апрель_ВЕБДИЗ_БЕЛ" xfId="32"/>
    <cellStyle name="_Апрель_ВЕБДИЗ_РЕЧ" xfId="33"/>
    <cellStyle name="_Апрель_ВЕБМАСТ" xfId="34"/>
    <cellStyle name="_Апрель_ВЕБМАСТ_БЕЛ" xfId="35"/>
    <cellStyle name="_Апрель_ВЕБМАСТ_РЕЧ" xfId="36"/>
    <cellStyle name="_Апрель_ВУЕ" xfId="37"/>
    <cellStyle name="_Апрель_ВУЕ_БЕЛ" xfId="38"/>
    <cellStyle name="_Апрель_ВУЕ_РЕЧ" xfId="39"/>
    <cellStyle name="_Апрель_Дети" xfId="40"/>
    <cellStyle name="_Апрель_Дети_БЕЛ" xfId="41"/>
    <cellStyle name="_Апрель_Дети_РЕЧ" xfId="42"/>
    <cellStyle name="_Апрель_Дистанц." xfId="43"/>
    <cellStyle name="_Апрель_Индив." xfId="44"/>
    <cellStyle name="_Апрель_Индив._БЕЛ" xfId="45"/>
    <cellStyle name="_Апрель_Индив._РЕЧ" xfId="46"/>
    <cellStyle name="_Апрель_Июль" xfId="47"/>
    <cellStyle name="_Апрель_Июль_Август" xfId="48"/>
    <cellStyle name="_Апрель_Июль_Август_Дистанц." xfId="49"/>
    <cellStyle name="_Апрель_Июль_Август_Индив." xfId="50"/>
    <cellStyle name="_Апрель_Июль_БЕЛ" xfId="51"/>
    <cellStyle name="_Апрель_Июль_БИНТ" xfId="52"/>
    <cellStyle name="_Апрель_Июль_БИНТ_БЕЛ" xfId="53"/>
    <cellStyle name="_Апрель_Июль_БИНТ_РЕЧ" xfId="54"/>
    <cellStyle name="_Апрель_Июль_ВЕБДИЗ" xfId="55"/>
    <cellStyle name="_Апрель_Июль_ВЕБМАСТ" xfId="56"/>
    <cellStyle name="_Апрель_Июль_ВЕБМАСТ_БЕЛ" xfId="57"/>
    <cellStyle name="_Апрель_Июль_ВЕБМАСТ_РЕЧ" xfId="58"/>
    <cellStyle name="_Апрель_Июль_Дети" xfId="59"/>
    <cellStyle name="_Апрель_Июль_Дистанц." xfId="60"/>
    <cellStyle name="_Апрель_Июль_Индив." xfId="61"/>
    <cellStyle name="_Апрель_Июль_Индив._БЕЛ" xfId="62"/>
    <cellStyle name="_Апрель_Июль_Индив._РЕЧ" xfId="63"/>
    <cellStyle name="_Апрель_Июль_Июнь" xfId="64"/>
    <cellStyle name="_Апрель_Июль_Июнь_Август" xfId="65"/>
    <cellStyle name="_Апрель_Июль_Июнь_Дистанц." xfId="66"/>
    <cellStyle name="_Апрель_Июль_Июнь_Индив." xfId="67"/>
    <cellStyle name="_Апрель_Июль_Июнь_КБУ" xfId="68"/>
    <cellStyle name="_Апрель_Июль_Июнь_Май" xfId="69"/>
    <cellStyle name="_Апрель_Июль_КБУ" xfId="70"/>
    <cellStyle name="_Апрель_Июль_КРН" xfId="71"/>
    <cellStyle name="_Апрель_Июль_Май" xfId="72"/>
    <cellStyle name="_Апрель_Июль_ОПШ" xfId="73"/>
    <cellStyle name="_Апрель_Июль_СР" xfId="74"/>
    <cellStyle name="_Апрель_Июнь" xfId="75"/>
    <cellStyle name="_Апрель_Июнь_1" xfId="76"/>
    <cellStyle name="_Апрель_Июнь_1_Август" xfId="77"/>
    <cellStyle name="_Апрель_Июнь_1_Дистанц." xfId="78"/>
    <cellStyle name="_Апрель_Июнь_1_Индив." xfId="79"/>
    <cellStyle name="_Апрель_Июнь_1_КБУ" xfId="80"/>
    <cellStyle name="_Апрель_Июнь_1_Май" xfId="81"/>
    <cellStyle name="_Апрель_Июнь_Август" xfId="82"/>
    <cellStyle name="_Апрель_Июнь_Август_Дистанц." xfId="83"/>
    <cellStyle name="_Апрель_Июнь_Август_Индив." xfId="84"/>
    <cellStyle name="_Апрель_Июнь_БЕЛ" xfId="85"/>
    <cellStyle name="_Апрель_Июнь_БИНТ" xfId="86"/>
    <cellStyle name="_Апрель_Июнь_БИНТ_БЕЛ" xfId="87"/>
    <cellStyle name="_Апрель_Июнь_БИНТ_РЕЧ" xfId="88"/>
    <cellStyle name="_Апрель_Июнь_БУХ" xfId="89"/>
    <cellStyle name="_Апрель_Июнь_БУХ_БЕЛ" xfId="90"/>
    <cellStyle name="_Апрель_Июнь_БУХ_РЕЧ" xfId="91"/>
    <cellStyle name="_Апрель_Июнь_ВЕБДИЗ" xfId="92"/>
    <cellStyle name="_Апрель_Июнь_ВЕБМАСТ" xfId="93"/>
    <cellStyle name="_Апрель_Июнь_ВЕБМАСТ_БЕЛ" xfId="94"/>
    <cellStyle name="_Апрель_Июнь_ВЕБМАСТ_РЕЧ" xfId="95"/>
    <cellStyle name="_Апрель_Июнь_Дети" xfId="96"/>
    <cellStyle name="_Апрель_Июнь_Дистанц." xfId="97"/>
    <cellStyle name="_Апрель_Июнь_Индив." xfId="98"/>
    <cellStyle name="_Апрель_Июнь_Индив._БЕЛ" xfId="99"/>
    <cellStyle name="_Апрель_Июнь_Индив._РЕЧ" xfId="100"/>
    <cellStyle name="_Апрель_Июнь_Июнь" xfId="101"/>
    <cellStyle name="_Апрель_Июнь_Июнь_Август" xfId="102"/>
    <cellStyle name="_Апрель_Июнь_Июнь_Дистанц." xfId="103"/>
    <cellStyle name="_Апрель_Июнь_Июнь_Индив." xfId="104"/>
    <cellStyle name="_Апрель_Июнь_Июнь_КБУ" xfId="105"/>
    <cellStyle name="_Апрель_Июнь_КБУ" xfId="106"/>
    <cellStyle name="_Апрель_Июнь_КРН" xfId="107"/>
    <cellStyle name="_Апрель_Июнь_Май" xfId="108"/>
    <cellStyle name="_Апрель_Июнь_ОПШ" xfId="109"/>
    <cellStyle name="_Апрель_Июнь_СР" xfId="110"/>
    <cellStyle name="_Апрель_КБУ" xfId="111"/>
    <cellStyle name="_Апрель_КБУ_БЕЛ" xfId="112"/>
    <cellStyle name="_Апрель_КБУ_РЕЧ" xfId="113"/>
    <cellStyle name="_Апрель_КРН" xfId="114"/>
    <cellStyle name="_Апрель_Май" xfId="115"/>
    <cellStyle name="_Апрель_Май_1" xfId="116"/>
    <cellStyle name="_Апрель_Май_1_Август" xfId="117"/>
    <cellStyle name="_Апрель_Май_1_Август_Дистанц." xfId="118"/>
    <cellStyle name="_Апрель_Май_1_Август_Индив." xfId="119"/>
    <cellStyle name="_Апрель_Май_1_БЕЛ" xfId="120"/>
    <cellStyle name="_Апрель_Май_1_БИНТ" xfId="121"/>
    <cellStyle name="_Апрель_Май_1_БИНТ_БЕЛ" xfId="122"/>
    <cellStyle name="_Апрель_Май_1_БИНТ_РЕЧ" xfId="123"/>
    <cellStyle name="_Апрель_Май_1_ВЕБДИЗ" xfId="124"/>
    <cellStyle name="_Апрель_Май_1_ВЕБМАСТ" xfId="125"/>
    <cellStyle name="_Апрель_Май_1_ВЕБМАСТ_БЕЛ" xfId="126"/>
    <cellStyle name="_Апрель_Май_1_ВЕБМАСТ_РЕЧ" xfId="127"/>
    <cellStyle name="_Апрель_Май_1_Дети" xfId="128"/>
    <cellStyle name="_Апрель_Май_1_Дистанц." xfId="129"/>
    <cellStyle name="_Апрель_Май_1_Индив." xfId="130"/>
    <cellStyle name="_Апрель_Май_1_Индив._БЕЛ" xfId="131"/>
    <cellStyle name="_Апрель_Май_1_Индив._РЕЧ" xfId="132"/>
    <cellStyle name="_Апрель_Май_1_Июнь" xfId="133"/>
    <cellStyle name="_Апрель_Май_1_Июнь_Август" xfId="134"/>
    <cellStyle name="_Апрель_Май_1_Июнь_Дистанц." xfId="135"/>
    <cellStyle name="_Апрель_Май_1_Июнь_Индив." xfId="136"/>
    <cellStyle name="_Апрель_Май_1_Июнь_КБУ" xfId="137"/>
    <cellStyle name="_Апрель_Май_1_КБУ" xfId="138"/>
    <cellStyle name="_Апрель_Май_1_КРН" xfId="139"/>
    <cellStyle name="_Апрель_Май_1_ОПШ" xfId="140"/>
    <cellStyle name="_Апрель_Май_1_СР" xfId="141"/>
    <cellStyle name="_Апрель_Май_2" xfId="142"/>
    <cellStyle name="_Апрель_Май_Август" xfId="143"/>
    <cellStyle name="_Апрель_Май_Август_Дистанц." xfId="144"/>
    <cellStyle name="_Апрель_Май_Август_Индив." xfId="145"/>
    <cellStyle name="_Апрель_Май_АКАД" xfId="146"/>
    <cellStyle name="_Апрель_Май_АКАД_БЕЛ" xfId="147"/>
    <cellStyle name="_Апрель_Май_АКАД_РЕЧ" xfId="148"/>
    <cellStyle name="_Апрель_Май_Б9560" xfId="149"/>
    <cellStyle name="_Апрель_Май_Б9560_БЕЛ" xfId="150"/>
    <cellStyle name="_Апрель_Май_Б9560_РЕЧ" xfId="151"/>
    <cellStyle name="_Апрель_Май_БЕЛ" xfId="152"/>
    <cellStyle name="_Апрель_Май_БИНТ" xfId="153"/>
    <cellStyle name="_Апрель_Май_БИНТ_БЕЛ" xfId="154"/>
    <cellStyle name="_Апрель_Май_БИНТ_РЕЧ" xfId="155"/>
    <cellStyle name="_Апрель_Май_БУХ" xfId="156"/>
    <cellStyle name="_Апрель_Май_БУХ_БЕЛ" xfId="157"/>
    <cellStyle name="_Апрель_Май_БУХ_РЕЧ" xfId="158"/>
    <cellStyle name="_Апрель_Май_ВЕБДИЗ" xfId="159"/>
    <cellStyle name="_Апрель_Май_ВЕБМАСТ" xfId="160"/>
    <cellStyle name="_Апрель_Май_ВЕБМАСТ_БЕЛ" xfId="161"/>
    <cellStyle name="_Апрель_Май_ВЕБМАСТ_РЕЧ" xfId="162"/>
    <cellStyle name="_Апрель_Май_Дети" xfId="163"/>
    <cellStyle name="_Апрель_Май_Дистанц." xfId="164"/>
    <cellStyle name="_Апрель_Май_Индив." xfId="165"/>
    <cellStyle name="_Апрель_Май_Индив._БЕЛ" xfId="166"/>
    <cellStyle name="_Апрель_Май_Индив._РЕЧ" xfId="167"/>
    <cellStyle name="_Апрель_Май_Июль" xfId="168"/>
    <cellStyle name="_Апрель_Май_Июль_Август" xfId="169"/>
    <cellStyle name="_Апрель_Май_Июль_Август_Дистанц." xfId="170"/>
    <cellStyle name="_Апрель_Май_Июль_Август_Индив." xfId="171"/>
    <cellStyle name="_Апрель_Май_Июль_БЕЛ" xfId="172"/>
    <cellStyle name="_Апрель_Май_Июль_БИНТ" xfId="173"/>
    <cellStyle name="_Апрель_Май_Июль_БИНТ_БЕЛ" xfId="174"/>
    <cellStyle name="_Апрель_Май_Июль_БИНТ_РЕЧ" xfId="175"/>
    <cellStyle name="_Апрель_Май_Июль_ВЕБДИЗ" xfId="176"/>
    <cellStyle name="_Апрель_Май_Июль_ВЕБМАСТ" xfId="177"/>
    <cellStyle name="_Апрель_Май_Июль_ВЕБМАСТ_БЕЛ" xfId="178"/>
    <cellStyle name="_Апрель_Май_Июль_ВЕБМАСТ_РЕЧ" xfId="179"/>
    <cellStyle name="_Апрель_Май_Июль_Дети" xfId="180"/>
    <cellStyle name="_Апрель_Май_Июль_Дистанц." xfId="181"/>
    <cellStyle name="_Апрель_Май_Июль_Индив." xfId="182"/>
    <cellStyle name="_Апрель_Май_Июль_Индив._БЕЛ" xfId="183"/>
    <cellStyle name="_Апрель_Май_Июль_Индив._РЕЧ" xfId="184"/>
    <cellStyle name="_Апрель_Май_Июль_Июнь" xfId="185"/>
    <cellStyle name="_Апрель_Май_Июль_Июнь_Август" xfId="186"/>
    <cellStyle name="_Апрель_Май_Июль_Июнь_Дистанц." xfId="187"/>
    <cellStyle name="_Апрель_Май_Июль_Июнь_Индив." xfId="188"/>
    <cellStyle name="_Апрель_Май_Июль_Июнь_КБУ" xfId="189"/>
    <cellStyle name="_Апрель_Май_Июль_КБУ" xfId="190"/>
    <cellStyle name="_Апрель_Май_Июль_КРН" xfId="191"/>
    <cellStyle name="_Апрель_Май_Июль_ОПШ" xfId="192"/>
    <cellStyle name="_Апрель_Май_Июль_СР" xfId="193"/>
    <cellStyle name="_Апрель_Май_Июнь" xfId="194"/>
    <cellStyle name="_Апрель_Май_Июнь_1" xfId="195"/>
    <cellStyle name="_Апрель_Май_Июнь_1_Август" xfId="196"/>
    <cellStyle name="_Апрель_Май_Июнь_1_Дистанц." xfId="197"/>
    <cellStyle name="_Апрель_Май_Июнь_1_Индив." xfId="198"/>
    <cellStyle name="_Апрель_Май_Июнь_1_КБУ" xfId="199"/>
    <cellStyle name="_Апрель_Май_Июнь_Август" xfId="200"/>
    <cellStyle name="_Апрель_Май_Июнь_Август_Дистанц." xfId="201"/>
    <cellStyle name="_Апрель_Май_Июнь_Август_Индив." xfId="202"/>
    <cellStyle name="_Апрель_Май_Июнь_БЕЛ" xfId="203"/>
    <cellStyle name="_Апрель_Май_Июнь_БИНТ" xfId="204"/>
    <cellStyle name="_Апрель_Май_Июнь_БИНТ_БЕЛ" xfId="205"/>
    <cellStyle name="_Апрель_Май_Июнь_БИНТ_РЕЧ" xfId="206"/>
    <cellStyle name="_Апрель_Май_Июнь_БУХ" xfId="207"/>
    <cellStyle name="_Апрель_Май_Июнь_БУХ_БЕЛ" xfId="208"/>
    <cellStyle name="_Апрель_Май_Июнь_БУХ_РЕЧ" xfId="209"/>
    <cellStyle name="_Апрель_Май_Июнь_ВЕБДИЗ" xfId="210"/>
    <cellStyle name="_Апрель_Май_Июнь_ВЕБМАСТ" xfId="211"/>
    <cellStyle name="_Апрель_Май_Июнь_ВЕБМАСТ_БЕЛ" xfId="212"/>
    <cellStyle name="_Апрель_Май_Июнь_ВЕБМАСТ_РЕЧ" xfId="213"/>
    <cellStyle name="_Апрель_Май_Июнь_Дети" xfId="214"/>
    <cellStyle name="_Апрель_Май_Июнь_Дистанц." xfId="215"/>
    <cellStyle name="_Апрель_Май_Июнь_Индив." xfId="216"/>
    <cellStyle name="_Апрель_Май_Июнь_Индив._БЕЛ" xfId="217"/>
    <cellStyle name="_Апрель_Май_Июнь_Индив._РЕЧ" xfId="218"/>
    <cellStyle name="_Апрель_Май_Июнь_Июнь" xfId="219"/>
    <cellStyle name="_Апрель_Май_Июнь_Июнь_Август" xfId="220"/>
    <cellStyle name="_Апрель_Май_Июнь_Июнь_Дистанц." xfId="221"/>
    <cellStyle name="_Апрель_Май_Июнь_Июнь_Индив." xfId="222"/>
    <cellStyle name="_Апрель_Май_Июнь_Июнь_КБУ" xfId="223"/>
    <cellStyle name="_Апрель_Май_Июнь_КБУ" xfId="224"/>
    <cellStyle name="_Апрель_Май_Июнь_КРН" xfId="225"/>
    <cellStyle name="_Апрель_Май_Июнь_ОПШ" xfId="226"/>
    <cellStyle name="_Апрель_Май_Июнь_СР" xfId="227"/>
    <cellStyle name="_Апрель_Май_КБУ" xfId="228"/>
    <cellStyle name="_Апрель_Май_КРН" xfId="229"/>
    <cellStyle name="_Апрель_Май_Май" xfId="230"/>
    <cellStyle name="_Апрель_Май_Май_Август" xfId="231"/>
    <cellStyle name="_Апрель_Май_Май_Август_Дистанц." xfId="232"/>
    <cellStyle name="_Апрель_Май_Май_Август_Индив." xfId="233"/>
    <cellStyle name="_Апрель_Май_Май_БЕЛ" xfId="234"/>
    <cellStyle name="_Апрель_Май_Май_БИНТ" xfId="235"/>
    <cellStyle name="_Апрель_Май_Май_БИНТ_БЕЛ" xfId="236"/>
    <cellStyle name="_Апрель_Май_Май_БИНТ_РЕЧ" xfId="237"/>
    <cellStyle name="_Апрель_Май_Май_ВЕБДИЗ" xfId="238"/>
    <cellStyle name="_Апрель_Май_Май_ВЕБМАСТ" xfId="239"/>
    <cellStyle name="_Апрель_Май_Май_ВЕБМАСТ_БЕЛ" xfId="240"/>
    <cellStyle name="_Апрель_Май_Май_ВЕБМАСТ_РЕЧ" xfId="241"/>
    <cellStyle name="_Апрель_Май_Май_Дети" xfId="242"/>
    <cellStyle name="_Апрель_Май_Май_Дистанц." xfId="243"/>
    <cellStyle name="_Апрель_Май_Май_Индив." xfId="244"/>
    <cellStyle name="_Апрель_Май_Май_Индив._БЕЛ" xfId="245"/>
    <cellStyle name="_Апрель_Май_Май_Индив._РЕЧ" xfId="246"/>
    <cellStyle name="_Апрель_Май_Май_Июнь" xfId="247"/>
    <cellStyle name="_Апрель_Май_Май_Июнь_Август" xfId="248"/>
    <cellStyle name="_Апрель_Май_Май_Июнь_Дистанц." xfId="249"/>
    <cellStyle name="_Апрель_Май_Май_Июнь_Индив." xfId="250"/>
    <cellStyle name="_Апрель_Май_Май_Июнь_КБУ" xfId="251"/>
    <cellStyle name="_Апрель_Май_Май_КБУ" xfId="252"/>
    <cellStyle name="_Апрель_Май_Май_КРН" xfId="253"/>
    <cellStyle name="_Апрель_Май_Май_ОПШ" xfId="254"/>
    <cellStyle name="_Апрель_Май_Май_СР" xfId="255"/>
    <cellStyle name="_Апрель_Май_ОПШ" xfId="256"/>
    <cellStyle name="_Апрель_Май_РЕЧ" xfId="257"/>
    <cellStyle name="_Апрель_Май_РЕЧ_БЕЛ" xfId="258"/>
    <cellStyle name="_Апрель_Май_РЕЧ_РЕЧ" xfId="259"/>
    <cellStyle name="_Апрель_Май_СИ" xfId="260"/>
    <cellStyle name="_Апрель_Май_СИ_БЕЛ" xfId="261"/>
    <cellStyle name="_Апрель_Май_СИ_РЕЧ" xfId="262"/>
    <cellStyle name="_Апрель_Май_СР" xfId="263"/>
    <cellStyle name="_Апрель_Май_СУБД" xfId="264"/>
    <cellStyle name="_Апрель_Май_СУБД_БЕЛ" xfId="265"/>
    <cellStyle name="_Апрель_Май_СУБД_РЕЧ" xfId="266"/>
    <cellStyle name="_Апрель_НТ" xfId="267"/>
    <cellStyle name="_Апрель_НТ_БЕЛ" xfId="268"/>
    <cellStyle name="_Апрель_НТ_РЕЧ" xfId="269"/>
    <cellStyle name="_Апрель_ОПШ" xfId="270"/>
    <cellStyle name="_Апрель_Офис" xfId="271"/>
    <cellStyle name="_Апрель_Офис_БЕЛ" xfId="272"/>
    <cellStyle name="_Апрель_Офис_РЕЧ" xfId="273"/>
    <cellStyle name="_Апрель_РЕЧ" xfId="274"/>
    <cellStyle name="_Апрель_РЕЧ_БЕЛ" xfId="275"/>
    <cellStyle name="_Апрель_РЕЧ_РЕЧ" xfId="276"/>
    <cellStyle name="_Апрель_СИ" xfId="277"/>
    <cellStyle name="_Апрель_СИ_БЕЛ" xfId="278"/>
    <cellStyle name="_Апрель_СИ_РЕЧ" xfId="279"/>
    <cellStyle name="_Апрель_СИС" xfId="280"/>
    <cellStyle name="_Апрель_СИС_БЕЛ" xfId="281"/>
    <cellStyle name="_Апрель_СИС_РЕЧ" xfId="282"/>
    <cellStyle name="_Апрель_СР" xfId="283"/>
    <cellStyle name="_Апрель_СУБД" xfId="284"/>
    <cellStyle name="_Апрель_СУБД_БЕЛ" xfId="285"/>
    <cellStyle name="_Апрель_СУБД_РЕЧ" xfId="286"/>
    <cellStyle name="_Апрель_ТЕК" xfId="287"/>
    <cellStyle name="_Апрель_ТЕК_БЕЛ" xfId="288"/>
    <cellStyle name="_Апрель_ТЕК_РЕЧ" xfId="289"/>
    <cellStyle name="_Апрель_Февраль" xfId="290"/>
    <cellStyle name="_Апрель_Февраль_Август" xfId="291"/>
    <cellStyle name="_Апрель_Февраль_Август_Дистанц." xfId="292"/>
    <cellStyle name="_Апрель_Февраль_Август_Индив." xfId="293"/>
    <cellStyle name="_Апрель_Февраль_АКАД" xfId="294"/>
    <cellStyle name="_Апрель_Февраль_АКАД_БЕЛ" xfId="295"/>
    <cellStyle name="_Апрель_Февраль_АКАД_РЕЧ" xfId="296"/>
    <cellStyle name="_Апрель_Февраль_Б9560" xfId="297"/>
    <cellStyle name="_Апрель_Февраль_Б9560_БЕЛ" xfId="298"/>
    <cellStyle name="_Апрель_Февраль_Б9560_РЕЧ" xfId="299"/>
    <cellStyle name="_Апрель_Февраль_БЕЛ" xfId="300"/>
    <cellStyle name="_Апрель_Февраль_БИНТ" xfId="301"/>
    <cellStyle name="_Апрель_Февраль_БИНТ_БЕЛ" xfId="302"/>
    <cellStyle name="_Апрель_Февраль_БИНТ_РЕЧ" xfId="303"/>
    <cellStyle name="_Апрель_Февраль_БУХ" xfId="304"/>
    <cellStyle name="_Апрель_Февраль_БУХ_БЕЛ" xfId="305"/>
    <cellStyle name="_Апрель_Февраль_БУХ_РЕЧ" xfId="306"/>
    <cellStyle name="_Апрель_Февраль_ВЕБДИЗ" xfId="307"/>
    <cellStyle name="_Апрель_Февраль_ВЕБМАСТ" xfId="308"/>
    <cellStyle name="_Апрель_Февраль_ВЕБМАСТ_БЕЛ" xfId="309"/>
    <cellStyle name="_Апрель_Февраль_ВЕБМАСТ_РЕЧ" xfId="310"/>
    <cellStyle name="_Апрель_Февраль_Дети" xfId="311"/>
    <cellStyle name="_Апрель_Февраль_Дистанц." xfId="312"/>
    <cellStyle name="_Апрель_Февраль_Индив." xfId="313"/>
    <cellStyle name="_Апрель_Февраль_Индив._БЕЛ" xfId="314"/>
    <cellStyle name="_Апрель_Февраль_Индив._РЕЧ" xfId="315"/>
    <cellStyle name="_Апрель_Февраль_Июль" xfId="316"/>
    <cellStyle name="_Апрель_Февраль_Июль_Август" xfId="317"/>
    <cellStyle name="_Апрель_Февраль_Июль_Август_Дистанц." xfId="318"/>
    <cellStyle name="_Апрель_Февраль_Июль_Август_Индив." xfId="319"/>
    <cellStyle name="_Апрель_Февраль_Июль_БЕЛ" xfId="320"/>
    <cellStyle name="_Апрель_Февраль_Июль_БИНТ" xfId="321"/>
    <cellStyle name="_Апрель_Февраль_Июль_БИНТ_БЕЛ" xfId="322"/>
    <cellStyle name="_Апрель_Февраль_Июль_БИНТ_РЕЧ" xfId="323"/>
    <cellStyle name="_Апрель_Февраль_Июль_ВЕБДИЗ" xfId="324"/>
    <cellStyle name="_Апрель_Февраль_Июль_ВЕБМАСТ" xfId="325"/>
    <cellStyle name="_Апрель_Февраль_Июль_ВЕБМАСТ_БЕЛ" xfId="326"/>
    <cellStyle name="_Апрель_Февраль_Июль_ВЕБМАСТ_РЕЧ" xfId="327"/>
    <cellStyle name="_Апрель_Февраль_Июль_Дети" xfId="328"/>
    <cellStyle name="_Апрель_Февраль_Июль_Дистанц." xfId="329"/>
    <cellStyle name="_Апрель_Февраль_Июль_Индив." xfId="330"/>
    <cellStyle name="_Апрель_Февраль_Июль_Индив._БЕЛ" xfId="331"/>
    <cellStyle name="_Апрель_Февраль_Июль_Индив._РЕЧ" xfId="332"/>
    <cellStyle name="_Апрель_Февраль_Июль_Июнь" xfId="333"/>
    <cellStyle name="_Апрель_Февраль_Июль_Июнь_Август" xfId="334"/>
    <cellStyle name="_Апрель_Февраль_Июль_Июнь_Дистанц." xfId="335"/>
    <cellStyle name="_Апрель_Февраль_Июль_Июнь_Индив." xfId="336"/>
    <cellStyle name="_Апрель_Февраль_Июль_Июнь_КБУ" xfId="337"/>
    <cellStyle name="_Апрель_Февраль_Июль_КБУ" xfId="338"/>
    <cellStyle name="_Апрель_Февраль_Июль_КРН" xfId="339"/>
    <cellStyle name="_Апрель_Февраль_Июль_ОПШ" xfId="340"/>
    <cellStyle name="_Апрель_Февраль_Июль_СР" xfId="341"/>
    <cellStyle name="_Апрель_Февраль_Июнь" xfId="342"/>
    <cellStyle name="_Апрель_Февраль_Июнь_1" xfId="343"/>
    <cellStyle name="_Апрель_Февраль_Июнь_1_Август" xfId="344"/>
    <cellStyle name="_Апрель_Февраль_Июнь_1_Дистанц." xfId="345"/>
    <cellStyle name="_Апрель_Февраль_Июнь_1_Индив." xfId="346"/>
    <cellStyle name="_Апрель_Февраль_Июнь_1_КБУ" xfId="347"/>
    <cellStyle name="_Апрель_Февраль_Июнь_Август" xfId="348"/>
    <cellStyle name="_Апрель_Февраль_Июнь_Август_Дистанц." xfId="349"/>
    <cellStyle name="_Апрель_Февраль_Июнь_Август_Индив." xfId="350"/>
    <cellStyle name="_Апрель_Февраль_Июнь_БЕЛ" xfId="351"/>
    <cellStyle name="_Апрель_Февраль_Июнь_БИНТ" xfId="352"/>
    <cellStyle name="_Апрель_Февраль_Июнь_БИНТ_БЕЛ" xfId="353"/>
    <cellStyle name="_Апрель_Февраль_Июнь_БИНТ_РЕЧ" xfId="354"/>
    <cellStyle name="_Апрель_Февраль_Июнь_БУХ" xfId="355"/>
    <cellStyle name="_Апрель_Февраль_Июнь_БУХ_БЕЛ" xfId="356"/>
    <cellStyle name="_Апрель_Февраль_Июнь_БУХ_РЕЧ" xfId="357"/>
    <cellStyle name="_Апрель_Февраль_Июнь_ВЕБДИЗ" xfId="358"/>
    <cellStyle name="_Апрель_Февраль_Июнь_ВЕБМАСТ" xfId="359"/>
    <cellStyle name="_Апрель_Февраль_Июнь_ВЕБМАСТ_БЕЛ" xfId="360"/>
    <cellStyle name="_Апрель_Февраль_Июнь_ВЕБМАСТ_РЕЧ" xfId="361"/>
    <cellStyle name="_Апрель_Февраль_Июнь_Дети" xfId="362"/>
    <cellStyle name="_Апрель_Февраль_Июнь_Дистанц." xfId="363"/>
    <cellStyle name="_Апрель_Февраль_Июнь_Индив." xfId="364"/>
    <cellStyle name="_Апрель_Февраль_Июнь_Индив._БЕЛ" xfId="365"/>
    <cellStyle name="_Апрель_Февраль_Июнь_Индив._РЕЧ" xfId="366"/>
    <cellStyle name="_Апрель_Февраль_Июнь_Июнь" xfId="367"/>
    <cellStyle name="_Апрель_Февраль_Июнь_Июнь_Август" xfId="368"/>
    <cellStyle name="_Апрель_Февраль_Июнь_Июнь_Дистанц." xfId="369"/>
    <cellStyle name="_Апрель_Февраль_Июнь_Июнь_Индив." xfId="370"/>
    <cellStyle name="_Апрель_Февраль_Июнь_Июнь_КБУ" xfId="371"/>
    <cellStyle name="_Апрель_Февраль_Июнь_КБУ" xfId="372"/>
    <cellStyle name="_Апрель_Февраль_Июнь_КРН" xfId="373"/>
    <cellStyle name="_Апрель_Февраль_Июнь_ОПШ" xfId="374"/>
    <cellStyle name="_Апрель_Февраль_Июнь_СР" xfId="375"/>
    <cellStyle name="_Апрель_Февраль_КБУ" xfId="376"/>
    <cellStyle name="_Апрель_Февраль_КРН" xfId="377"/>
    <cellStyle name="_Апрель_Февраль_Май" xfId="378"/>
    <cellStyle name="_Апрель_Февраль_Май_Август" xfId="379"/>
    <cellStyle name="_Апрель_Февраль_Май_Август_Дистанц." xfId="380"/>
    <cellStyle name="_Апрель_Февраль_Май_Август_Индив." xfId="381"/>
    <cellStyle name="_Апрель_Февраль_Май_БЕЛ" xfId="382"/>
    <cellStyle name="_Апрель_Февраль_Май_БИНТ" xfId="383"/>
    <cellStyle name="_Апрель_Февраль_Май_БИНТ_БЕЛ" xfId="384"/>
    <cellStyle name="_Апрель_Февраль_Май_БИНТ_РЕЧ" xfId="385"/>
    <cellStyle name="_Апрель_Февраль_Май_ВЕБДИЗ" xfId="386"/>
    <cellStyle name="_Апрель_Февраль_Май_ВЕБМАСТ" xfId="387"/>
    <cellStyle name="_Апрель_Февраль_Май_ВЕБМАСТ_БЕЛ" xfId="388"/>
    <cellStyle name="_Апрель_Февраль_Май_ВЕБМАСТ_РЕЧ" xfId="389"/>
    <cellStyle name="_Апрель_Февраль_Май_Дети" xfId="390"/>
    <cellStyle name="_Апрель_Февраль_Май_Дистанц." xfId="391"/>
    <cellStyle name="_Апрель_Февраль_Май_Индив." xfId="392"/>
    <cellStyle name="_Апрель_Февраль_Май_Индив._БЕЛ" xfId="393"/>
    <cellStyle name="_Апрель_Февраль_Май_Индив._РЕЧ" xfId="394"/>
    <cellStyle name="_Апрель_Февраль_Май_Июнь" xfId="395"/>
    <cellStyle name="_Апрель_Февраль_Май_Июнь_Август" xfId="396"/>
    <cellStyle name="_Апрель_Февраль_Май_Июнь_Дистанц." xfId="397"/>
    <cellStyle name="_Апрель_Февраль_Май_Июнь_Индив." xfId="398"/>
    <cellStyle name="_Апрель_Февраль_Май_Июнь_КБУ" xfId="399"/>
    <cellStyle name="_Апрель_Февраль_Май_КБУ" xfId="400"/>
    <cellStyle name="_Апрель_Февраль_Май_КРН" xfId="401"/>
    <cellStyle name="_Апрель_Февраль_Май_ОПШ" xfId="402"/>
    <cellStyle name="_Апрель_Февраль_Май_СР" xfId="403"/>
    <cellStyle name="_Апрель_Февраль_ОПШ" xfId="404"/>
    <cellStyle name="_Апрель_Февраль_РЕЧ" xfId="405"/>
    <cellStyle name="_Апрель_Февраль_РЕЧ_БЕЛ" xfId="406"/>
    <cellStyle name="_Апрель_Февраль_РЕЧ_РЕЧ" xfId="407"/>
    <cellStyle name="_Апрель_Февраль_СИ" xfId="408"/>
    <cellStyle name="_Апрель_Февраль_СИ_БЕЛ" xfId="409"/>
    <cellStyle name="_Апрель_Февраль_СИ_РЕЧ" xfId="410"/>
    <cellStyle name="_Апрель_Февраль_СР" xfId="411"/>
    <cellStyle name="_Апрель_Февраль_СУБД" xfId="412"/>
    <cellStyle name="_Апрель_Февраль_СУБД_БЕЛ" xfId="413"/>
    <cellStyle name="_Апрель_Февраль_СУБД_РЕЧ" xfId="414"/>
    <cellStyle name="_Апрель_ФШ" xfId="415"/>
    <cellStyle name="_Апрель_ФШ_БЕЛ" xfId="416"/>
    <cellStyle name="_Апрель_ФШ_РЕЧ" xfId="417"/>
    <cellStyle name="_Б9560" xfId="418"/>
    <cellStyle name="_Б9560_БЕЛ" xfId="419"/>
    <cellStyle name="_Б9560_РЕЧ" xfId="420"/>
    <cellStyle name="_БЕЛ" xfId="421"/>
    <cellStyle name="_БЕЛ_БЕЛ" xfId="422"/>
    <cellStyle name="_БЕЛ_РЕЧ" xfId="423"/>
    <cellStyle name="_БИНТ" xfId="424"/>
    <cellStyle name="_БИНТ_БЕЛ" xfId="425"/>
    <cellStyle name="_БИНТ_РЕЧ" xfId="426"/>
    <cellStyle name="_БУХ" xfId="427"/>
    <cellStyle name="_БУХ_БЕЛ" xfId="428"/>
    <cellStyle name="_БУХ_РЕЧ" xfId="429"/>
    <cellStyle name="_ВЕБДИЗ" xfId="430"/>
    <cellStyle name="_ВЕБДИЗ_БЕЛ" xfId="431"/>
    <cellStyle name="_ВЕБДИЗ_РЕЧ" xfId="432"/>
    <cellStyle name="_ВЕБМАСТ" xfId="433"/>
    <cellStyle name="_ВЕБМАСТ_БЕЛ" xfId="434"/>
    <cellStyle name="_ВЕБМАСТ_РЕЧ" xfId="435"/>
    <cellStyle name="_ВУЕ" xfId="436"/>
    <cellStyle name="_ВУЕ_БЕЛ" xfId="437"/>
    <cellStyle name="_ВУЕ_РЕЧ" xfId="438"/>
    <cellStyle name="_Дети" xfId="439"/>
    <cellStyle name="_Дети_БЕЛ" xfId="440"/>
    <cellStyle name="_Дети_РЕЧ" xfId="441"/>
    <cellStyle name="_Дистанц." xfId="442"/>
    <cellStyle name="_ДОГ НУДО частн" xfId="443"/>
    <cellStyle name="_ДОГ НУДО частн_БЕЛ" xfId="444"/>
    <cellStyle name="_ДОГ НУДО частн_РЕЧ" xfId="445"/>
    <cellStyle name="_Заявление" xfId="446"/>
    <cellStyle name="_Заявление_БЕЛ" xfId="447"/>
    <cellStyle name="_Заявление_РЕЧ" xfId="448"/>
    <cellStyle name="_Индив." xfId="449"/>
    <cellStyle name="_Индив._БЕЛ" xfId="450"/>
    <cellStyle name="_Индив._РЕЧ" xfId="451"/>
    <cellStyle name="_ИНТ" xfId="452"/>
    <cellStyle name="_ИНТ_БЕЛ" xfId="453"/>
    <cellStyle name="_ИНТ_РЕЧ" xfId="454"/>
    <cellStyle name="_Июль" xfId="455"/>
    <cellStyle name="_Июль_Август" xfId="456"/>
    <cellStyle name="_Июль_Август_Дистанц." xfId="457"/>
    <cellStyle name="_Июль_Август_Индив." xfId="458"/>
    <cellStyle name="_Июль_БЕЛ" xfId="459"/>
    <cellStyle name="_Июль_БИНТ" xfId="460"/>
    <cellStyle name="_Июль_БИНТ_БЕЛ" xfId="461"/>
    <cellStyle name="_Июль_БИНТ_РЕЧ" xfId="462"/>
    <cellStyle name="_Июль_ВЕБДИЗ" xfId="463"/>
    <cellStyle name="_Июль_ВЕБМАСТ" xfId="464"/>
    <cellStyle name="_Июль_ВЕБМАСТ_БЕЛ" xfId="465"/>
    <cellStyle name="_Июль_ВЕБМАСТ_РЕЧ" xfId="466"/>
    <cellStyle name="_Июль_Дети" xfId="467"/>
    <cellStyle name="_Июль_Дистанц." xfId="468"/>
    <cellStyle name="_Июль_Индив." xfId="469"/>
    <cellStyle name="_Июль_Индив._БЕЛ" xfId="470"/>
    <cellStyle name="_Июль_Индив._РЕЧ" xfId="471"/>
    <cellStyle name="_Июль_Июнь" xfId="472"/>
    <cellStyle name="_Июль_Июнь_Август" xfId="473"/>
    <cellStyle name="_Июль_Июнь_Дистанц." xfId="474"/>
    <cellStyle name="_Июль_Июнь_Индив." xfId="475"/>
    <cellStyle name="_Июль_Июнь_КБУ" xfId="476"/>
    <cellStyle name="_Июль_КБУ" xfId="477"/>
    <cellStyle name="_Июль_КРН" xfId="478"/>
    <cellStyle name="_Июль_ОПШ" xfId="479"/>
    <cellStyle name="_Июль_СР" xfId="480"/>
    <cellStyle name="_Июнь" xfId="481"/>
    <cellStyle name="_Июнь_1" xfId="482"/>
    <cellStyle name="_Июнь_1_Август" xfId="483"/>
    <cellStyle name="_Июнь_1_Дистанц." xfId="484"/>
    <cellStyle name="_Июнь_1_Индив." xfId="485"/>
    <cellStyle name="_Июнь_1_КБУ" xfId="486"/>
    <cellStyle name="_Июнь_Август" xfId="487"/>
    <cellStyle name="_Июнь_Август_Дистанц." xfId="488"/>
    <cellStyle name="_Июнь_Август_Индив." xfId="489"/>
    <cellStyle name="_Июнь_БЕЛ" xfId="490"/>
    <cellStyle name="_Июнь_БИНТ" xfId="491"/>
    <cellStyle name="_Июнь_БИНТ_БЕЛ" xfId="492"/>
    <cellStyle name="_Июнь_БИНТ_РЕЧ" xfId="493"/>
    <cellStyle name="_Июнь_БУХ" xfId="494"/>
    <cellStyle name="_Июнь_БУХ_БЕЛ" xfId="495"/>
    <cellStyle name="_Июнь_БУХ_РЕЧ" xfId="496"/>
    <cellStyle name="_Июнь_ВЕБДИЗ" xfId="497"/>
    <cellStyle name="_Июнь_ВЕБМАСТ" xfId="498"/>
    <cellStyle name="_Июнь_ВЕБМАСТ_БЕЛ" xfId="499"/>
    <cellStyle name="_Июнь_ВЕБМАСТ_РЕЧ" xfId="500"/>
    <cellStyle name="_Июнь_Дети" xfId="501"/>
    <cellStyle name="_Июнь_Дистанц." xfId="502"/>
    <cellStyle name="_Июнь_Индив." xfId="503"/>
    <cellStyle name="_Июнь_Индив._БЕЛ" xfId="504"/>
    <cellStyle name="_Июнь_Индив._РЕЧ" xfId="505"/>
    <cellStyle name="_Июнь_Июнь" xfId="506"/>
    <cellStyle name="_Июнь_Июнь_Август" xfId="507"/>
    <cellStyle name="_Июнь_Июнь_Дистанц." xfId="508"/>
    <cellStyle name="_Июнь_Июнь_Индив." xfId="509"/>
    <cellStyle name="_Июнь_Июнь_КБУ" xfId="510"/>
    <cellStyle name="_Июнь_КБУ" xfId="511"/>
    <cellStyle name="_Июнь_КРН" xfId="512"/>
    <cellStyle name="_Июнь_ОПШ" xfId="513"/>
    <cellStyle name="_Июнь_СР" xfId="514"/>
    <cellStyle name="_КБУ" xfId="515"/>
    <cellStyle name="_КБУ_БЕЛ" xfId="516"/>
    <cellStyle name="_КБУ_РЕЧ" xfId="517"/>
    <cellStyle name="_Консультация" xfId="518"/>
    <cellStyle name="_Консультация_БЕЛ" xfId="519"/>
    <cellStyle name="_Консультация_РЕЧ" xfId="520"/>
    <cellStyle name="_КРН" xfId="521"/>
    <cellStyle name="_КРН_БЕЛ" xfId="522"/>
    <cellStyle name="_КРН_РЕЧ" xfId="523"/>
    <cellStyle name="_Лист1" xfId="524"/>
    <cellStyle name="_ЛСХ" xfId="525"/>
    <cellStyle name="_ЛСХ_БЕЛ" xfId="526"/>
    <cellStyle name="_ЛСХ_РЕЧ" xfId="527"/>
    <cellStyle name="_Май" xfId="528"/>
    <cellStyle name="_Май_1" xfId="529"/>
    <cellStyle name="_Май_1_Август" xfId="530"/>
    <cellStyle name="_Май_1_Август_Дистанц." xfId="531"/>
    <cellStyle name="_Май_1_Август_Индив." xfId="532"/>
    <cellStyle name="_Май_1_БЕЛ" xfId="533"/>
    <cellStyle name="_Май_1_БИНТ" xfId="534"/>
    <cellStyle name="_Май_1_БИНТ_БЕЛ" xfId="535"/>
    <cellStyle name="_Май_1_БИНТ_РЕЧ" xfId="536"/>
    <cellStyle name="_Май_1_ВЕБДИЗ" xfId="537"/>
    <cellStyle name="_Май_1_ВЕБМАСТ" xfId="538"/>
    <cellStyle name="_Май_1_ВЕБМАСТ_БЕЛ" xfId="539"/>
    <cellStyle name="_Май_1_ВЕБМАСТ_РЕЧ" xfId="540"/>
    <cellStyle name="_Май_1_Дети" xfId="541"/>
    <cellStyle name="_Май_1_Дистанц." xfId="542"/>
    <cellStyle name="_Май_1_Индив." xfId="543"/>
    <cellStyle name="_Май_1_Индив._БЕЛ" xfId="544"/>
    <cellStyle name="_Май_1_Индив._РЕЧ" xfId="545"/>
    <cellStyle name="_Май_1_Июнь" xfId="546"/>
    <cellStyle name="_Май_1_Июнь_Август" xfId="547"/>
    <cellStyle name="_Май_1_Июнь_Дистанц." xfId="548"/>
    <cellStyle name="_Май_1_Июнь_Индив." xfId="549"/>
    <cellStyle name="_Май_1_Июнь_КБУ" xfId="550"/>
    <cellStyle name="_Май_1_КБУ" xfId="551"/>
    <cellStyle name="_Май_1_КРН" xfId="552"/>
    <cellStyle name="_Май_1_ОПШ" xfId="553"/>
    <cellStyle name="_Май_1_СР" xfId="554"/>
    <cellStyle name="_Май_Август" xfId="555"/>
    <cellStyle name="_Май_Август_Дистанц." xfId="556"/>
    <cellStyle name="_Май_Август_Индив." xfId="557"/>
    <cellStyle name="_Май_АКАД" xfId="558"/>
    <cellStyle name="_Май_АКАД_БЕЛ" xfId="559"/>
    <cellStyle name="_Май_АКАД_РЕЧ" xfId="560"/>
    <cellStyle name="_Май_Б9560" xfId="561"/>
    <cellStyle name="_Май_Б9560_БЕЛ" xfId="562"/>
    <cellStyle name="_Май_Б9560_РЕЧ" xfId="563"/>
    <cellStyle name="_Май_БЕЛ" xfId="564"/>
    <cellStyle name="_Май_БИНТ" xfId="565"/>
    <cellStyle name="_Май_БИНТ_БЕЛ" xfId="566"/>
    <cellStyle name="_Май_БИНТ_РЕЧ" xfId="567"/>
    <cellStyle name="_Май_БУХ" xfId="568"/>
    <cellStyle name="_Май_БУХ_БЕЛ" xfId="569"/>
    <cellStyle name="_Май_БУХ_РЕЧ" xfId="570"/>
    <cellStyle name="_Май_ВЕБДИЗ" xfId="571"/>
    <cellStyle name="_Май_ВЕБМАСТ" xfId="572"/>
    <cellStyle name="_Май_ВЕБМАСТ_БЕЛ" xfId="573"/>
    <cellStyle name="_Май_ВЕБМАСТ_РЕЧ" xfId="574"/>
    <cellStyle name="_Май_Дети" xfId="575"/>
    <cellStyle name="_Май_Дистанц." xfId="576"/>
    <cellStyle name="_Май_Индив." xfId="577"/>
    <cellStyle name="_Май_Индив._БЕЛ" xfId="578"/>
    <cellStyle name="_Май_Индив._РЕЧ" xfId="579"/>
    <cellStyle name="_Май_Июль" xfId="580"/>
    <cellStyle name="_Май_Июль_Август" xfId="581"/>
    <cellStyle name="_Май_Июль_Август_Дистанц." xfId="582"/>
    <cellStyle name="_Май_Июль_Август_Индив." xfId="583"/>
    <cellStyle name="_Май_Июль_БЕЛ" xfId="584"/>
    <cellStyle name="_Май_Июль_БИНТ" xfId="585"/>
    <cellStyle name="_Май_Июль_БИНТ_БЕЛ" xfId="586"/>
    <cellStyle name="_Май_Июль_БИНТ_РЕЧ" xfId="587"/>
    <cellStyle name="_Май_Июль_ВЕБДИЗ" xfId="588"/>
    <cellStyle name="_Май_Июль_ВЕБМАСТ" xfId="589"/>
    <cellStyle name="_Май_Июль_ВЕБМАСТ_БЕЛ" xfId="590"/>
    <cellStyle name="_Май_Июль_ВЕБМАСТ_РЕЧ" xfId="591"/>
    <cellStyle name="_Май_Июль_Дети" xfId="592"/>
    <cellStyle name="_Май_Июль_Дистанц." xfId="593"/>
    <cellStyle name="_Май_Июль_Индив." xfId="594"/>
    <cellStyle name="_Май_Июль_Индив._БЕЛ" xfId="595"/>
    <cellStyle name="_Май_Июль_Индив._РЕЧ" xfId="596"/>
    <cellStyle name="_Май_Июль_Июнь" xfId="597"/>
    <cellStyle name="_Май_Июль_Июнь_Август" xfId="598"/>
    <cellStyle name="_Май_Июль_Июнь_Дистанц." xfId="599"/>
    <cellStyle name="_Май_Июль_Июнь_Индив." xfId="600"/>
    <cellStyle name="_Май_Июль_Июнь_КБУ" xfId="601"/>
    <cellStyle name="_Май_Июль_КБУ" xfId="602"/>
    <cellStyle name="_Май_Июль_КРН" xfId="603"/>
    <cellStyle name="_Май_Июль_ОПШ" xfId="604"/>
    <cellStyle name="_Май_Июль_СР" xfId="605"/>
    <cellStyle name="_Май_Июнь" xfId="606"/>
    <cellStyle name="_Май_Июнь_1" xfId="607"/>
    <cellStyle name="_Май_Июнь_1_Август" xfId="608"/>
    <cellStyle name="_Май_Июнь_1_Дистанц." xfId="609"/>
    <cellStyle name="_Май_Июнь_1_Индив." xfId="610"/>
    <cellStyle name="_Май_Июнь_1_КБУ" xfId="611"/>
    <cellStyle name="_Май_Июнь_Август" xfId="612"/>
    <cellStyle name="_Май_Июнь_Август_Дистанц." xfId="613"/>
    <cellStyle name="_Май_Июнь_Август_Индив." xfId="614"/>
    <cellStyle name="_Май_Июнь_БЕЛ" xfId="615"/>
    <cellStyle name="_Май_Июнь_БИНТ" xfId="616"/>
    <cellStyle name="_Май_Июнь_БИНТ_БЕЛ" xfId="617"/>
    <cellStyle name="_Май_Июнь_БИНТ_РЕЧ" xfId="618"/>
    <cellStyle name="_Май_Июнь_БУХ" xfId="619"/>
    <cellStyle name="_Май_Июнь_БУХ_БЕЛ" xfId="620"/>
    <cellStyle name="_Май_Июнь_БУХ_РЕЧ" xfId="621"/>
    <cellStyle name="_Май_Июнь_ВЕБДИЗ" xfId="622"/>
    <cellStyle name="_Май_Июнь_ВЕБМАСТ" xfId="623"/>
    <cellStyle name="_Май_Июнь_ВЕБМАСТ_БЕЛ" xfId="624"/>
    <cellStyle name="_Май_Июнь_ВЕБМАСТ_РЕЧ" xfId="625"/>
    <cellStyle name="_Май_Июнь_Дети" xfId="626"/>
    <cellStyle name="_Май_Июнь_Дистанц." xfId="627"/>
    <cellStyle name="_Май_Июнь_Индив." xfId="628"/>
    <cellStyle name="_Май_Июнь_Индив._БЕЛ" xfId="629"/>
    <cellStyle name="_Май_Июнь_Индив._РЕЧ" xfId="630"/>
    <cellStyle name="_Май_Июнь_Июнь" xfId="631"/>
    <cellStyle name="_Май_Июнь_Июнь_Август" xfId="632"/>
    <cellStyle name="_Май_Июнь_Июнь_Дистанц." xfId="633"/>
    <cellStyle name="_Май_Июнь_Июнь_Индив." xfId="634"/>
    <cellStyle name="_Май_Июнь_Июнь_КБУ" xfId="635"/>
    <cellStyle name="_Май_Июнь_КБУ" xfId="636"/>
    <cellStyle name="_Май_Июнь_КРН" xfId="637"/>
    <cellStyle name="_Май_Июнь_ОПШ" xfId="638"/>
    <cellStyle name="_Май_Июнь_СР" xfId="639"/>
    <cellStyle name="_Май_КБУ" xfId="640"/>
    <cellStyle name="_Май_КРН" xfId="641"/>
    <cellStyle name="_Май_Май" xfId="642"/>
    <cellStyle name="_Май_Май_Август" xfId="643"/>
    <cellStyle name="_Май_Май_Август_Дистанц." xfId="644"/>
    <cellStyle name="_Май_Май_Август_Индив." xfId="645"/>
    <cellStyle name="_Май_Май_БЕЛ" xfId="646"/>
    <cellStyle name="_Май_Май_БИНТ" xfId="647"/>
    <cellStyle name="_Май_Май_БИНТ_БЕЛ" xfId="648"/>
    <cellStyle name="_Май_Май_БИНТ_РЕЧ" xfId="649"/>
    <cellStyle name="_Май_Май_ВЕБДИЗ" xfId="650"/>
    <cellStyle name="_Май_Май_ВЕБМАСТ" xfId="651"/>
    <cellStyle name="_Май_Май_ВЕБМАСТ_БЕЛ" xfId="652"/>
    <cellStyle name="_Май_Май_ВЕБМАСТ_РЕЧ" xfId="653"/>
    <cellStyle name="_Май_Май_Дети" xfId="654"/>
    <cellStyle name="_Май_Май_Дистанц." xfId="655"/>
    <cellStyle name="_Май_Май_Индив." xfId="656"/>
    <cellStyle name="_Май_Май_Индив._БЕЛ" xfId="657"/>
    <cellStyle name="_Май_Май_Индив._РЕЧ" xfId="658"/>
    <cellStyle name="_Май_Май_Июнь" xfId="659"/>
    <cellStyle name="_Май_Май_Июнь_Август" xfId="660"/>
    <cellStyle name="_Май_Май_Июнь_Дистанц." xfId="661"/>
    <cellStyle name="_Май_Май_Июнь_Индив." xfId="662"/>
    <cellStyle name="_Май_Май_Июнь_КБУ" xfId="663"/>
    <cellStyle name="_Май_Май_КБУ" xfId="664"/>
    <cellStyle name="_Май_Май_КРН" xfId="665"/>
    <cellStyle name="_Май_Май_ОПШ" xfId="666"/>
    <cellStyle name="_Май_Май_СР" xfId="667"/>
    <cellStyle name="_Май_ОПШ" xfId="668"/>
    <cellStyle name="_Май_РЕЧ" xfId="669"/>
    <cellStyle name="_Май_РЕЧ_БЕЛ" xfId="670"/>
    <cellStyle name="_Май_РЕЧ_РЕЧ" xfId="671"/>
    <cellStyle name="_Май_СИ" xfId="672"/>
    <cellStyle name="_Май_СИ_БЕЛ" xfId="673"/>
    <cellStyle name="_Май_СИ_РЕЧ" xfId="674"/>
    <cellStyle name="_Май_СР" xfId="675"/>
    <cellStyle name="_Май_СУБД" xfId="676"/>
    <cellStyle name="_Май_СУБД_БЕЛ" xfId="677"/>
    <cellStyle name="_Май_СУБД_РЕЧ" xfId="678"/>
    <cellStyle name="_МП" xfId="679"/>
    <cellStyle name="_МП_БЕЛ" xfId="680"/>
    <cellStyle name="_МП_РЕЧ" xfId="681"/>
    <cellStyle name="_НТ" xfId="682"/>
    <cellStyle name="_НТ_БЕЛ" xfId="683"/>
    <cellStyle name="_НТ_РЕЧ" xfId="684"/>
    <cellStyle name="_ОПШ" xfId="685"/>
    <cellStyle name="_ОПШ_Апрель" xfId="686"/>
    <cellStyle name="_ОПШ_Апрель_БЕЛ" xfId="687"/>
    <cellStyle name="_ОПШ_Апрель_РЕЧ" xfId="688"/>
    <cellStyle name="_ОПШ_БЕЛ" xfId="689"/>
    <cellStyle name="_ОПШ_Июль" xfId="690"/>
    <cellStyle name="_ОПШ_Июль_БЕЛ" xfId="691"/>
    <cellStyle name="_ОПШ_Июль_РЕЧ" xfId="692"/>
    <cellStyle name="_ОПШ_Июнь" xfId="693"/>
    <cellStyle name="_ОПШ_Июнь_БЕЛ" xfId="694"/>
    <cellStyle name="_ОПШ_Июнь_РЕЧ" xfId="695"/>
    <cellStyle name="_ОПШ_Май" xfId="696"/>
    <cellStyle name="_ОПШ_Май_БЕЛ" xfId="697"/>
    <cellStyle name="_ОПШ_Май_РЕЧ" xfId="698"/>
    <cellStyle name="_ОПШ_РЕЧ" xfId="699"/>
    <cellStyle name="_ОПШ_Февраль" xfId="700"/>
    <cellStyle name="_ОПШ_Февраль_БЕЛ" xfId="701"/>
    <cellStyle name="_ОПШ_Февраль_РЕЧ" xfId="702"/>
    <cellStyle name="_ОПШ_Январь" xfId="703"/>
    <cellStyle name="_ОПШ_Январь_БЕЛ" xfId="704"/>
    <cellStyle name="_ОПШ_Январь_РЕЧ" xfId="705"/>
    <cellStyle name="_Офис" xfId="706"/>
    <cellStyle name="_Офис_БЕЛ" xfId="707"/>
    <cellStyle name="_Офис_РЕЧ" xfId="708"/>
    <cellStyle name="_ПРШ" xfId="709"/>
    <cellStyle name="_ПРШ_Апрель" xfId="710"/>
    <cellStyle name="_ПРШ_Апрель_БЕЛ" xfId="711"/>
    <cellStyle name="_ПРШ_Апрель_РЕЧ" xfId="712"/>
    <cellStyle name="_ПРШ_БЕЛ" xfId="713"/>
    <cellStyle name="_ПРШ_Июль" xfId="714"/>
    <cellStyle name="_ПРШ_Июль_БЕЛ" xfId="715"/>
    <cellStyle name="_ПРШ_Июль_РЕЧ" xfId="716"/>
    <cellStyle name="_ПРШ_Июнь" xfId="717"/>
    <cellStyle name="_ПРШ_Июнь_БЕЛ" xfId="718"/>
    <cellStyle name="_ПРШ_Июнь_РЕЧ" xfId="719"/>
    <cellStyle name="_ПРШ_Май" xfId="720"/>
    <cellStyle name="_ПРШ_Май_БЕЛ" xfId="721"/>
    <cellStyle name="_ПРШ_Май_РЕЧ" xfId="722"/>
    <cellStyle name="_ПРШ_РЕЧ" xfId="723"/>
    <cellStyle name="_ПРШ_Февраль" xfId="724"/>
    <cellStyle name="_ПРШ_Февраль_БЕЛ" xfId="725"/>
    <cellStyle name="_ПРШ_Февраль_РЕЧ" xfId="726"/>
    <cellStyle name="_ПРШ_Январь" xfId="727"/>
    <cellStyle name="_ПРШ_Январь_БЕЛ" xfId="728"/>
    <cellStyle name="_ПРШ_Январь_РЕЧ" xfId="729"/>
    <cellStyle name="_РЕЧ" xfId="730"/>
    <cellStyle name="_РЕЧ_БЕЛ" xfId="731"/>
    <cellStyle name="_РЕЧ_РЕЧ" xfId="732"/>
    <cellStyle name="_СВБ" xfId="733"/>
    <cellStyle name="_СВБ_БЕЛ" xfId="734"/>
    <cellStyle name="_СВБ_РЕЧ" xfId="735"/>
    <cellStyle name="_СИ" xfId="736"/>
    <cellStyle name="_СИ_БЕЛ" xfId="737"/>
    <cellStyle name="_СИ_РЕЧ" xfId="738"/>
    <cellStyle name="_СИС" xfId="739"/>
    <cellStyle name="_СИС_БЕЛ" xfId="740"/>
    <cellStyle name="_СИС_РЕЧ" xfId="741"/>
    <cellStyle name="_СР" xfId="742"/>
    <cellStyle name="_СУБД" xfId="743"/>
    <cellStyle name="_СУБД_БЕЛ" xfId="744"/>
    <cellStyle name="_СУБД_РЕЧ" xfId="745"/>
    <cellStyle name="_СЧ СПЕЦ" xfId="746"/>
    <cellStyle name="_СЧ ЦКО" xfId="747"/>
    <cellStyle name="_СЧ ЦКО_Лист1" xfId="748"/>
    <cellStyle name="_СЧ ЦКО_Лист1_БЕЛ" xfId="749"/>
    <cellStyle name="_СЧ ЦКО_Лист1_РЕЧ" xfId="750"/>
    <cellStyle name="_СЧ ЦКО_СЧ СПЕЦ" xfId="751"/>
    <cellStyle name="_СЧ ЦКО_СЧДОГ СПЕЦ" xfId="752"/>
    <cellStyle name="_СЧДОГ" xfId="753"/>
    <cellStyle name="_СЧДОГ СПЕЦ" xfId="754"/>
    <cellStyle name="_СЧДОГ_1" xfId="755"/>
    <cellStyle name="_СЧДОГ_3ДМ" xfId="756"/>
    <cellStyle name="_СЧДОГ_3ДМ_БЕЛ" xfId="757"/>
    <cellStyle name="_СЧДОГ_3ДМ_РЕЧ" xfId="758"/>
    <cellStyle name="_СЧДОГ_Август" xfId="759"/>
    <cellStyle name="_СЧДОГ_Август_Дистанц." xfId="760"/>
    <cellStyle name="_СЧДОГ_Август_Индив." xfId="761"/>
    <cellStyle name="_СЧДОГ_АКАД" xfId="762"/>
    <cellStyle name="_СЧДОГ_АКАД_БЕЛ" xfId="763"/>
    <cellStyle name="_СЧДОГ_АКАД_РЕЧ" xfId="764"/>
    <cellStyle name="_СЧДОГ_Б9560" xfId="765"/>
    <cellStyle name="_СЧДОГ_Б9560_БЕЛ" xfId="766"/>
    <cellStyle name="_СЧДОГ_Б9560_РЕЧ" xfId="767"/>
    <cellStyle name="_СЧДОГ_БЕЛ" xfId="768"/>
    <cellStyle name="_СЧДОГ_БИНТ" xfId="769"/>
    <cellStyle name="_СЧДОГ_БИНТ_БЕЛ" xfId="770"/>
    <cellStyle name="_СЧДОГ_БИНТ_РЕЧ" xfId="771"/>
    <cellStyle name="_СЧДОГ_БУХ" xfId="772"/>
    <cellStyle name="_СЧДОГ_БУХ_БЕЛ" xfId="773"/>
    <cellStyle name="_СЧДОГ_БУХ_РЕЧ" xfId="774"/>
    <cellStyle name="_СЧДОГ_ВЕБДИЗ" xfId="775"/>
    <cellStyle name="_СЧДОГ_ВЕБДИЗ_БЕЛ" xfId="776"/>
    <cellStyle name="_СЧДОГ_ВЕБДИЗ_РЕЧ" xfId="777"/>
    <cellStyle name="_СЧДОГ_ВЕБМАСТ" xfId="778"/>
    <cellStyle name="_СЧДОГ_ВЕБМАСТ_БЕЛ" xfId="779"/>
    <cellStyle name="_СЧДОГ_ВЕБМАСТ_РЕЧ" xfId="780"/>
    <cellStyle name="_СЧДОГ_ВУЕ" xfId="781"/>
    <cellStyle name="_СЧДОГ_ВУЕ_БЕЛ" xfId="782"/>
    <cellStyle name="_СЧДОГ_ВУЕ_РЕЧ" xfId="783"/>
    <cellStyle name="_СЧДОГ_Дети" xfId="784"/>
    <cellStyle name="_СЧДОГ_Дети_БЕЛ" xfId="785"/>
    <cellStyle name="_СЧДОГ_Дети_РЕЧ" xfId="786"/>
    <cellStyle name="_СЧДОГ_Дистанц." xfId="787"/>
    <cellStyle name="_СЧДОГ_Индив." xfId="788"/>
    <cellStyle name="_СЧДОГ_Индив._БЕЛ" xfId="789"/>
    <cellStyle name="_СЧДОГ_Индив._РЕЧ" xfId="790"/>
    <cellStyle name="_СЧДОГ_Июль" xfId="791"/>
    <cellStyle name="_СЧДОГ_Июль_Август" xfId="792"/>
    <cellStyle name="_СЧДОГ_Июль_Август_Дистанц." xfId="793"/>
    <cellStyle name="_СЧДОГ_Июль_Август_Индив." xfId="794"/>
    <cellStyle name="_СЧДОГ_Июль_БЕЛ" xfId="795"/>
    <cellStyle name="_СЧДОГ_Июль_БИНТ" xfId="796"/>
    <cellStyle name="_СЧДОГ_Июль_БИНТ_БЕЛ" xfId="797"/>
    <cellStyle name="_СЧДОГ_Июль_БИНТ_РЕЧ" xfId="798"/>
    <cellStyle name="_СЧДОГ_Июль_ВЕБДИЗ" xfId="799"/>
    <cellStyle name="_СЧДОГ_Июль_ВЕБМАСТ" xfId="800"/>
    <cellStyle name="_СЧДОГ_Июль_ВЕБМАСТ_БЕЛ" xfId="801"/>
    <cellStyle name="_СЧДОГ_Июль_ВЕБМАСТ_РЕЧ" xfId="802"/>
    <cellStyle name="_СЧДОГ_Июль_Дети" xfId="803"/>
    <cellStyle name="_СЧДОГ_Июль_Дистанц." xfId="804"/>
    <cellStyle name="_СЧДОГ_Июль_Индив." xfId="805"/>
    <cellStyle name="_СЧДОГ_Июль_Индив._БЕЛ" xfId="806"/>
    <cellStyle name="_СЧДОГ_Июль_Индив._РЕЧ" xfId="807"/>
    <cellStyle name="_СЧДОГ_Июль_Июнь" xfId="808"/>
    <cellStyle name="_СЧДОГ_Июль_Июнь_Август" xfId="809"/>
    <cellStyle name="_СЧДОГ_Июль_Июнь_Дистанц." xfId="810"/>
    <cellStyle name="_СЧДОГ_Июль_Июнь_Индив." xfId="811"/>
    <cellStyle name="_СЧДОГ_Июль_Июнь_КБУ" xfId="812"/>
    <cellStyle name="_СЧДОГ_Июль_КБУ" xfId="813"/>
    <cellStyle name="_СЧДОГ_Июль_КРН" xfId="814"/>
    <cellStyle name="_СЧДОГ_Июль_ОПШ" xfId="815"/>
    <cellStyle name="_СЧДОГ_Июль_СР" xfId="816"/>
    <cellStyle name="_СЧДОГ_Июнь" xfId="817"/>
    <cellStyle name="_СЧДОГ_Июнь_1" xfId="818"/>
    <cellStyle name="_СЧДОГ_Июнь_1_Август" xfId="819"/>
    <cellStyle name="_СЧДОГ_Июнь_1_Дистанц." xfId="820"/>
    <cellStyle name="_СЧДОГ_Июнь_1_Индив." xfId="821"/>
    <cellStyle name="_СЧДОГ_Июнь_1_КБУ" xfId="822"/>
    <cellStyle name="_СЧДОГ_Июнь_Август" xfId="823"/>
    <cellStyle name="_СЧДОГ_Июнь_Август_Дистанц." xfId="824"/>
    <cellStyle name="_СЧДОГ_Июнь_Август_Индив." xfId="825"/>
    <cellStyle name="_СЧДОГ_Июнь_БЕЛ" xfId="826"/>
    <cellStyle name="_СЧДОГ_Июнь_БИНТ" xfId="827"/>
    <cellStyle name="_СЧДОГ_Июнь_БИНТ_БЕЛ" xfId="828"/>
    <cellStyle name="_СЧДОГ_Июнь_БИНТ_РЕЧ" xfId="829"/>
    <cellStyle name="_СЧДОГ_Июнь_БУХ" xfId="830"/>
    <cellStyle name="_СЧДОГ_Июнь_БУХ_БЕЛ" xfId="831"/>
    <cellStyle name="_СЧДОГ_Июнь_БУХ_РЕЧ" xfId="832"/>
    <cellStyle name="_СЧДОГ_Июнь_ВЕБДИЗ" xfId="833"/>
    <cellStyle name="_СЧДОГ_Июнь_ВЕБМАСТ" xfId="834"/>
    <cellStyle name="_СЧДОГ_Июнь_ВЕБМАСТ_БЕЛ" xfId="835"/>
    <cellStyle name="_СЧДОГ_Июнь_ВЕБМАСТ_РЕЧ" xfId="836"/>
    <cellStyle name="_СЧДОГ_Июнь_Дети" xfId="837"/>
    <cellStyle name="_СЧДОГ_Июнь_Дистанц." xfId="838"/>
    <cellStyle name="_СЧДОГ_Июнь_Индив." xfId="839"/>
    <cellStyle name="_СЧДОГ_Июнь_Индив._БЕЛ" xfId="840"/>
    <cellStyle name="_СЧДОГ_Июнь_Индив._РЕЧ" xfId="841"/>
    <cellStyle name="_СЧДОГ_Июнь_Июнь" xfId="842"/>
    <cellStyle name="_СЧДОГ_Июнь_Июнь_Август" xfId="843"/>
    <cellStyle name="_СЧДОГ_Июнь_Июнь_Дистанц." xfId="844"/>
    <cellStyle name="_СЧДОГ_Июнь_Июнь_Индив." xfId="845"/>
    <cellStyle name="_СЧДОГ_Июнь_Июнь_КБУ" xfId="846"/>
    <cellStyle name="_СЧДОГ_Июнь_КБУ" xfId="847"/>
    <cellStyle name="_СЧДОГ_Июнь_КРН" xfId="848"/>
    <cellStyle name="_СЧДОГ_Июнь_ОПШ" xfId="849"/>
    <cellStyle name="_СЧДОГ_Июнь_СР" xfId="850"/>
    <cellStyle name="_СЧДОГ_КБУ" xfId="851"/>
    <cellStyle name="_СЧДОГ_КБУ_БЕЛ" xfId="852"/>
    <cellStyle name="_СЧДОГ_КБУ_РЕЧ" xfId="853"/>
    <cellStyle name="_СЧДОГ_КРН" xfId="854"/>
    <cellStyle name="_СЧДОГ_Май" xfId="855"/>
    <cellStyle name="_СЧДОГ_Май_1" xfId="856"/>
    <cellStyle name="_СЧДОГ_Май_1_Август" xfId="857"/>
    <cellStyle name="_СЧДОГ_Май_1_Август_Дистанц." xfId="858"/>
    <cellStyle name="_СЧДОГ_Май_1_Август_Индив." xfId="859"/>
    <cellStyle name="_СЧДОГ_Май_1_БЕЛ" xfId="860"/>
    <cellStyle name="_СЧДОГ_Май_1_БИНТ" xfId="861"/>
    <cellStyle name="_СЧДОГ_Май_1_БИНТ_БЕЛ" xfId="862"/>
    <cellStyle name="_СЧДОГ_Май_1_БИНТ_РЕЧ" xfId="863"/>
    <cellStyle name="_СЧДОГ_Май_1_ВЕБДИЗ" xfId="864"/>
    <cellStyle name="_СЧДОГ_Май_1_ВЕБМАСТ" xfId="865"/>
    <cellStyle name="_СЧДОГ_Май_1_ВЕБМАСТ_БЕЛ" xfId="866"/>
    <cellStyle name="_СЧДОГ_Май_1_ВЕБМАСТ_РЕЧ" xfId="867"/>
    <cellStyle name="_СЧДОГ_Май_1_Дети" xfId="868"/>
    <cellStyle name="_СЧДОГ_Май_1_Дистанц." xfId="869"/>
    <cellStyle name="_СЧДОГ_Май_1_Индив." xfId="870"/>
    <cellStyle name="_СЧДОГ_Май_1_Индив._БЕЛ" xfId="871"/>
    <cellStyle name="_СЧДОГ_Май_1_Индив._РЕЧ" xfId="872"/>
    <cellStyle name="_СЧДОГ_Май_1_Июнь" xfId="873"/>
    <cellStyle name="_СЧДОГ_Май_1_Июнь_Август" xfId="874"/>
    <cellStyle name="_СЧДОГ_Май_1_Июнь_Дистанц." xfId="875"/>
    <cellStyle name="_СЧДОГ_Май_1_Июнь_Индив." xfId="876"/>
    <cellStyle name="_СЧДОГ_Май_1_Июнь_КБУ" xfId="877"/>
    <cellStyle name="_СЧДОГ_Май_1_КБУ" xfId="878"/>
    <cellStyle name="_СЧДОГ_Май_1_КРН" xfId="879"/>
    <cellStyle name="_СЧДОГ_Май_1_ОПШ" xfId="880"/>
    <cellStyle name="_СЧДОГ_Май_1_СР" xfId="881"/>
    <cellStyle name="_СЧДОГ_Май_Август" xfId="882"/>
    <cellStyle name="_СЧДОГ_Май_Август_Дистанц." xfId="883"/>
    <cellStyle name="_СЧДОГ_Май_Август_Индив." xfId="884"/>
    <cellStyle name="_СЧДОГ_Май_АКАД" xfId="885"/>
    <cellStyle name="_СЧДОГ_Май_АКАД_БЕЛ" xfId="886"/>
    <cellStyle name="_СЧДОГ_Май_АКАД_РЕЧ" xfId="887"/>
    <cellStyle name="_СЧДОГ_Май_Б9560" xfId="888"/>
    <cellStyle name="_СЧДОГ_Май_Б9560_БЕЛ" xfId="889"/>
    <cellStyle name="_СЧДОГ_Май_Б9560_РЕЧ" xfId="890"/>
    <cellStyle name="_СЧДОГ_Май_БЕЛ" xfId="891"/>
    <cellStyle name="_СЧДОГ_Май_БИНТ" xfId="892"/>
    <cellStyle name="_СЧДОГ_Май_БИНТ_БЕЛ" xfId="893"/>
    <cellStyle name="_СЧДОГ_Май_БИНТ_РЕЧ" xfId="894"/>
    <cellStyle name="_СЧДОГ_Май_БУХ" xfId="895"/>
    <cellStyle name="_СЧДОГ_Май_БУХ_БЕЛ" xfId="896"/>
    <cellStyle name="_СЧДОГ_Май_БУХ_РЕЧ" xfId="897"/>
    <cellStyle name="_СЧДОГ_Май_ВЕБДИЗ" xfId="898"/>
    <cellStyle name="_СЧДОГ_Май_ВЕБМАСТ" xfId="899"/>
    <cellStyle name="_СЧДОГ_Май_ВЕБМАСТ_БЕЛ" xfId="900"/>
    <cellStyle name="_СЧДОГ_Май_ВЕБМАСТ_РЕЧ" xfId="901"/>
    <cellStyle name="_СЧДОГ_Май_Дети" xfId="902"/>
    <cellStyle name="_СЧДОГ_Май_Дистанц." xfId="903"/>
    <cellStyle name="_СЧДОГ_Май_Индив." xfId="904"/>
    <cellStyle name="_СЧДОГ_Май_Индив._БЕЛ" xfId="905"/>
    <cellStyle name="_СЧДОГ_Май_Индив._РЕЧ" xfId="906"/>
    <cellStyle name="_СЧДОГ_Май_Июль" xfId="907"/>
    <cellStyle name="_СЧДОГ_Май_Июль_Август" xfId="908"/>
    <cellStyle name="_СЧДОГ_Май_Июль_Август_Дистанц." xfId="909"/>
    <cellStyle name="_СЧДОГ_Май_Июль_Август_Индив." xfId="910"/>
    <cellStyle name="_СЧДОГ_Май_Июль_БЕЛ" xfId="911"/>
    <cellStyle name="_СЧДОГ_Май_Июль_БИНТ" xfId="912"/>
    <cellStyle name="_СЧДОГ_Май_Июль_БИНТ_БЕЛ" xfId="913"/>
    <cellStyle name="_СЧДОГ_Май_Июль_БИНТ_РЕЧ" xfId="914"/>
    <cellStyle name="_СЧДОГ_Май_Июль_ВЕБДИЗ" xfId="915"/>
    <cellStyle name="_СЧДОГ_Май_Июль_ВЕБМАСТ" xfId="916"/>
    <cellStyle name="_СЧДОГ_Май_Июль_ВЕБМАСТ_БЕЛ" xfId="917"/>
    <cellStyle name="_СЧДОГ_Май_Июль_ВЕБМАСТ_РЕЧ" xfId="918"/>
    <cellStyle name="_СЧДОГ_Май_Июль_Дети" xfId="919"/>
    <cellStyle name="_СЧДОГ_Май_Июль_Дистанц." xfId="920"/>
    <cellStyle name="_СЧДОГ_Май_Июль_Индив." xfId="921"/>
    <cellStyle name="_СЧДОГ_Май_Июль_Индив._БЕЛ" xfId="922"/>
    <cellStyle name="_СЧДОГ_Май_Июль_Индив._РЕЧ" xfId="923"/>
    <cellStyle name="_СЧДОГ_Май_Июль_Июнь" xfId="924"/>
    <cellStyle name="_СЧДОГ_Май_Июль_Июнь_Август" xfId="925"/>
    <cellStyle name="_СЧДОГ_Май_Июль_Июнь_Дистанц." xfId="926"/>
    <cellStyle name="_СЧДОГ_Май_Июль_Июнь_Индив." xfId="927"/>
    <cellStyle name="_СЧДОГ_Май_Июль_Июнь_КБУ" xfId="928"/>
    <cellStyle name="_СЧДОГ_Май_Июль_КБУ" xfId="929"/>
    <cellStyle name="_СЧДОГ_Май_Июль_КРН" xfId="930"/>
    <cellStyle name="_СЧДОГ_Май_Июль_ОПШ" xfId="931"/>
    <cellStyle name="_СЧДОГ_Май_Июль_СР" xfId="932"/>
    <cellStyle name="_СЧДОГ_Май_Июнь" xfId="933"/>
    <cellStyle name="_СЧДОГ_Май_Июнь_1" xfId="934"/>
    <cellStyle name="_СЧДОГ_Май_Июнь_1_Август" xfId="935"/>
    <cellStyle name="_СЧДОГ_Май_Июнь_1_Дистанц." xfId="936"/>
    <cellStyle name="_СЧДОГ_Май_Июнь_1_Индив." xfId="937"/>
    <cellStyle name="_СЧДОГ_Май_Июнь_1_КБУ" xfId="938"/>
    <cellStyle name="_СЧДОГ_Май_Июнь_Август" xfId="939"/>
    <cellStyle name="_СЧДОГ_Май_Июнь_Август_Дистанц." xfId="940"/>
    <cellStyle name="_СЧДОГ_Май_Июнь_Август_Индив." xfId="941"/>
    <cellStyle name="_СЧДОГ_Май_Июнь_БЕЛ" xfId="942"/>
    <cellStyle name="_СЧДОГ_Май_Июнь_БИНТ" xfId="943"/>
    <cellStyle name="_СЧДОГ_Май_Июнь_БИНТ_БЕЛ" xfId="944"/>
    <cellStyle name="_СЧДОГ_Май_Июнь_БИНТ_РЕЧ" xfId="945"/>
    <cellStyle name="_СЧДОГ_Май_Июнь_БУХ" xfId="946"/>
    <cellStyle name="_СЧДОГ_Май_Июнь_БУХ_БЕЛ" xfId="947"/>
    <cellStyle name="_СЧДОГ_Май_Июнь_БУХ_РЕЧ" xfId="948"/>
    <cellStyle name="_СЧДОГ_Май_Июнь_ВЕБДИЗ" xfId="949"/>
    <cellStyle name="_СЧДОГ_Май_Июнь_ВЕБМАСТ" xfId="950"/>
    <cellStyle name="_СЧДОГ_Май_Июнь_ВЕБМАСТ_БЕЛ" xfId="951"/>
    <cellStyle name="_СЧДОГ_Май_Июнь_ВЕБМАСТ_РЕЧ" xfId="952"/>
    <cellStyle name="_СЧДОГ_Май_Июнь_Дети" xfId="953"/>
    <cellStyle name="_СЧДОГ_Май_Июнь_Дистанц." xfId="954"/>
    <cellStyle name="_СЧДОГ_Май_Июнь_Индив." xfId="955"/>
    <cellStyle name="_СЧДОГ_Май_Июнь_Индив._БЕЛ" xfId="956"/>
    <cellStyle name="_СЧДОГ_Май_Июнь_Индив._РЕЧ" xfId="957"/>
    <cellStyle name="_СЧДОГ_Май_Июнь_Июнь" xfId="958"/>
    <cellStyle name="_СЧДОГ_Май_Июнь_Июнь_Август" xfId="959"/>
    <cellStyle name="_СЧДОГ_Май_Июнь_Июнь_Дистанц." xfId="960"/>
    <cellStyle name="_СЧДОГ_Май_Июнь_Июнь_Индив." xfId="961"/>
    <cellStyle name="_СЧДОГ_Май_Июнь_Июнь_КБУ" xfId="962"/>
    <cellStyle name="_СЧДОГ_Май_Июнь_КБУ" xfId="963"/>
    <cellStyle name="_СЧДОГ_Май_Июнь_КРН" xfId="964"/>
    <cellStyle name="_СЧДОГ_Май_Июнь_ОПШ" xfId="965"/>
    <cellStyle name="_СЧДОГ_Май_Июнь_СР" xfId="966"/>
    <cellStyle name="_СЧДОГ_Май_КБУ" xfId="967"/>
    <cellStyle name="_СЧДОГ_Май_КРН" xfId="968"/>
    <cellStyle name="_СЧДОГ_Май_Май" xfId="969"/>
    <cellStyle name="_СЧДОГ_Май_Май_Август" xfId="970"/>
    <cellStyle name="_СЧДОГ_Май_Май_Август_Дистанц." xfId="971"/>
    <cellStyle name="_СЧДОГ_Май_Май_Август_Индив." xfId="972"/>
    <cellStyle name="_СЧДОГ_Май_Май_БЕЛ" xfId="973"/>
    <cellStyle name="_СЧДОГ_Май_Май_БИНТ" xfId="974"/>
    <cellStyle name="_СЧДОГ_Май_Май_БИНТ_БЕЛ" xfId="975"/>
    <cellStyle name="_СЧДОГ_Май_Май_БИНТ_РЕЧ" xfId="976"/>
    <cellStyle name="_СЧДОГ_Май_Май_ВЕБДИЗ" xfId="977"/>
    <cellStyle name="_СЧДОГ_Май_Май_ВЕБМАСТ" xfId="978"/>
    <cellStyle name="_СЧДОГ_Май_Май_ВЕБМАСТ_БЕЛ" xfId="979"/>
    <cellStyle name="_СЧДОГ_Май_Май_ВЕБМАСТ_РЕЧ" xfId="980"/>
    <cellStyle name="_СЧДОГ_Май_Май_Дети" xfId="981"/>
    <cellStyle name="_СЧДОГ_Май_Май_Дистанц." xfId="982"/>
    <cellStyle name="_СЧДОГ_Май_Май_Индив." xfId="983"/>
    <cellStyle name="_СЧДОГ_Май_Май_Индив._БЕЛ" xfId="984"/>
    <cellStyle name="_СЧДОГ_Май_Май_Индив._РЕЧ" xfId="985"/>
    <cellStyle name="_СЧДОГ_Май_Май_Июнь" xfId="986"/>
    <cellStyle name="_СЧДОГ_Май_Май_Июнь_Август" xfId="987"/>
    <cellStyle name="_СЧДОГ_Май_Май_Июнь_Дистанц." xfId="988"/>
    <cellStyle name="_СЧДОГ_Май_Май_Июнь_Индив." xfId="989"/>
    <cellStyle name="_СЧДОГ_Май_Май_Июнь_КБУ" xfId="990"/>
    <cellStyle name="_СЧДОГ_Май_Май_КБУ" xfId="991"/>
    <cellStyle name="_СЧДОГ_Май_Май_КРН" xfId="992"/>
    <cellStyle name="_СЧДОГ_Май_Май_ОПШ" xfId="993"/>
    <cellStyle name="_СЧДОГ_Май_Май_СР" xfId="994"/>
    <cellStyle name="_СЧДОГ_Май_ОПШ" xfId="995"/>
    <cellStyle name="_СЧДОГ_Май_РЕЧ" xfId="996"/>
    <cellStyle name="_СЧДОГ_Май_РЕЧ_БЕЛ" xfId="997"/>
    <cellStyle name="_СЧДОГ_Май_РЕЧ_РЕЧ" xfId="998"/>
    <cellStyle name="_СЧДОГ_Май_СИ" xfId="999"/>
    <cellStyle name="_СЧДОГ_Май_СИ_БЕЛ" xfId="1000"/>
    <cellStyle name="_СЧДОГ_Май_СИ_РЕЧ" xfId="1001"/>
    <cellStyle name="_СЧДОГ_Май_СР" xfId="1002"/>
    <cellStyle name="_СЧДОГ_Май_СУБД" xfId="1003"/>
    <cellStyle name="_СЧДОГ_Май_СУБД_БЕЛ" xfId="1004"/>
    <cellStyle name="_СЧДОГ_Май_СУБД_РЕЧ" xfId="1005"/>
    <cellStyle name="_СЧДОГ_НТ" xfId="1006"/>
    <cellStyle name="_СЧДОГ_НТ_БЕЛ" xfId="1007"/>
    <cellStyle name="_СЧДОГ_НТ_РЕЧ" xfId="1008"/>
    <cellStyle name="_СЧДОГ_ОПШ" xfId="1009"/>
    <cellStyle name="_СЧДОГ_Офис" xfId="1010"/>
    <cellStyle name="_СЧДОГ_Офис_БЕЛ" xfId="1011"/>
    <cellStyle name="_СЧДОГ_Офис_РЕЧ" xfId="1012"/>
    <cellStyle name="_СЧДОГ_РЕЧ" xfId="1013"/>
    <cellStyle name="_СЧДОГ_РЕЧ_БЕЛ" xfId="1014"/>
    <cellStyle name="_СЧДОГ_РЕЧ_РЕЧ" xfId="1015"/>
    <cellStyle name="_СЧДОГ_СИ" xfId="1016"/>
    <cellStyle name="_СЧДОГ_СИ_БЕЛ" xfId="1017"/>
    <cellStyle name="_СЧДОГ_СИ_РЕЧ" xfId="1018"/>
    <cellStyle name="_СЧДОГ_СИС" xfId="1019"/>
    <cellStyle name="_СЧДОГ_СИС_БЕЛ" xfId="1020"/>
    <cellStyle name="_СЧДОГ_СИС_РЕЧ" xfId="1021"/>
    <cellStyle name="_СЧДОГ_СР" xfId="1022"/>
    <cellStyle name="_СЧДОГ_СУБД" xfId="1023"/>
    <cellStyle name="_СЧДОГ_СУБД_БЕЛ" xfId="1024"/>
    <cellStyle name="_СЧДОГ_СУБД_РЕЧ" xfId="1025"/>
    <cellStyle name="_СЧДОГ_ТЕК" xfId="1026"/>
    <cellStyle name="_СЧДОГ_ТЕК_БЕЛ" xfId="1027"/>
    <cellStyle name="_СЧДОГ_ТЕК_РЕЧ" xfId="1028"/>
    <cellStyle name="_СЧДОГ_Февраль" xfId="1029"/>
    <cellStyle name="_СЧДОГ_Февраль_Август" xfId="1030"/>
    <cellStyle name="_СЧДОГ_Февраль_Август_Дистанц." xfId="1031"/>
    <cellStyle name="_СЧДОГ_Февраль_Август_Индив." xfId="1032"/>
    <cellStyle name="_СЧДОГ_Февраль_АКАД" xfId="1033"/>
    <cellStyle name="_СЧДОГ_Февраль_АКАД_БЕЛ" xfId="1034"/>
    <cellStyle name="_СЧДОГ_Февраль_АКАД_РЕЧ" xfId="1035"/>
    <cellStyle name="_СЧДОГ_Февраль_Б9560" xfId="1036"/>
    <cellStyle name="_СЧДОГ_Февраль_Б9560_БЕЛ" xfId="1037"/>
    <cellStyle name="_СЧДОГ_Февраль_Б9560_РЕЧ" xfId="1038"/>
    <cellStyle name="_СЧДОГ_Февраль_БЕЛ" xfId="1039"/>
    <cellStyle name="_СЧДОГ_Февраль_БИНТ" xfId="1040"/>
    <cellStyle name="_СЧДОГ_Февраль_БИНТ_БЕЛ" xfId="1041"/>
    <cellStyle name="_СЧДОГ_Февраль_БИНТ_РЕЧ" xfId="1042"/>
    <cellStyle name="_СЧДОГ_Февраль_БУХ" xfId="1043"/>
    <cellStyle name="_СЧДОГ_Февраль_БУХ_БЕЛ" xfId="1044"/>
    <cellStyle name="_СЧДОГ_Февраль_БУХ_РЕЧ" xfId="1045"/>
    <cellStyle name="_СЧДОГ_Февраль_ВЕБДИЗ" xfId="1046"/>
    <cellStyle name="_СЧДОГ_Февраль_ВЕБМАСТ" xfId="1047"/>
    <cellStyle name="_СЧДОГ_Февраль_ВЕБМАСТ_БЕЛ" xfId="1048"/>
    <cellStyle name="_СЧДОГ_Февраль_ВЕБМАСТ_РЕЧ" xfId="1049"/>
    <cellStyle name="_СЧДОГ_Февраль_Дети" xfId="1050"/>
    <cellStyle name="_СЧДОГ_Февраль_Дистанц." xfId="1051"/>
    <cellStyle name="_СЧДОГ_Февраль_Индив." xfId="1052"/>
    <cellStyle name="_СЧДОГ_Февраль_Индив._БЕЛ" xfId="1053"/>
    <cellStyle name="_СЧДОГ_Февраль_Индив._РЕЧ" xfId="1054"/>
    <cellStyle name="_СЧДОГ_Февраль_Июль" xfId="1055"/>
    <cellStyle name="_СЧДОГ_Февраль_Июль_Август" xfId="1056"/>
    <cellStyle name="_СЧДОГ_Февраль_Июль_Август_Дистанц." xfId="1057"/>
    <cellStyle name="_СЧДОГ_Февраль_Июль_Август_Индив." xfId="1058"/>
    <cellStyle name="_СЧДОГ_Февраль_Июль_БЕЛ" xfId="1059"/>
    <cellStyle name="_СЧДОГ_Февраль_Июль_БИНТ" xfId="1060"/>
    <cellStyle name="_СЧДОГ_Февраль_Июль_БИНТ_БЕЛ" xfId="1061"/>
    <cellStyle name="_СЧДОГ_Февраль_Июль_БИНТ_РЕЧ" xfId="1062"/>
    <cellStyle name="_СЧДОГ_Февраль_Июль_ВЕБДИЗ" xfId="1063"/>
    <cellStyle name="_СЧДОГ_Февраль_Июль_ВЕБМАСТ" xfId="1064"/>
    <cellStyle name="_СЧДОГ_Февраль_Июль_ВЕБМАСТ_БЕЛ" xfId="1065"/>
    <cellStyle name="_СЧДОГ_Февраль_Июль_ВЕБМАСТ_РЕЧ" xfId="1066"/>
    <cellStyle name="_СЧДОГ_Февраль_Июль_Дети" xfId="1067"/>
    <cellStyle name="_СЧДОГ_Февраль_Июль_Дистанц." xfId="1068"/>
    <cellStyle name="_СЧДОГ_Февраль_Июль_Индив." xfId="1069"/>
    <cellStyle name="_СЧДОГ_Февраль_Июль_Индив._БЕЛ" xfId="1070"/>
    <cellStyle name="_СЧДОГ_Февраль_Июль_Индив._РЕЧ" xfId="1071"/>
    <cellStyle name="_СЧДОГ_Февраль_Июль_Июнь" xfId="1072"/>
    <cellStyle name="_СЧДОГ_Февраль_Июль_Июнь_Август" xfId="1073"/>
    <cellStyle name="_СЧДОГ_Февраль_Июль_Июнь_Дистанц." xfId="1074"/>
    <cellStyle name="_СЧДОГ_Февраль_Июль_Июнь_Индив." xfId="1075"/>
    <cellStyle name="_СЧДОГ_Февраль_Июль_Июнь_КБУ" xfId="1076"/>
    <cellStyle name="_СЧДОГ_Февраль_Июль_КБУ" xfId="1077"/>
    <cellStyle name="_СЧДОГ_Февраль_Июль_КРН" xfId="1078"/>
    <cellStyle name="_СЧДОГ_Февраль_Июль_ОПШ" xfId="1079"/>
    <cellStyle name="_СЧДОГ_Февраль_Июль_СР" xfId="1080"/>
    <cellStyle name="_СЧДОГ_Февраль_Июнь" xfId="1081"/>
    <cellStyle name="_СЧДОГ_Февраль_Июнь_1" xfId="1082"/>
    <cellStyle name="_СЧДОГ_Февраль_Июнь_1_Август" xfId="1083"/>
    <cellStyle name="_СЧДОГ_Февраль_Июнь_1_Дистанц." xfId="1084"/>
    <cellStyle name="_СЧДОГ_Февраль_Июнь_1_Индив." xfId="1085"/>
    <cellStyle name="_СЧДОГ_Февраль_Июнь_1_КБУ" xfId="1086"/>
    <cellStyle name="_СЧДОГ_Февраль_Июнь_Август" xfId="1087"/>
    <cellStyle name="_СЧДОГ_Февраль_Июнь_Август_Дистанц." xfId="1088"/>
    <cellStyle name="_СЧДОГ_Февраль_Июнь_Август_Индив." xfId="1089"/>
    <cellStyle name="_СЧДОГ_Февраль_Июнь_БЕЛ" xfId="1090"/>
    <cellStyle name="_СЧДОГ_Февраль_Июнь_БИНТ" xfId="1091"/>
    <cellStyle name="_СЧДОГ_Февраль_Июнь_БИНТ_БЕЛ" xfId="1092"/>
    <cellStyle name="_СЧДОГ_Февраль_Июнь_БИНТ_РЕЧ" xfId="1093"/>
    <cellStyle name="_СЧДОГ_Февраль_Июнь_БУХ" xfId="1094"/>
    <cellStyle name="_СЧДОГ_Февраль_Июнь_БУХ_БЕЛ" xfId="1095"/>
    <cellStyle name="_СЧДОГ_Февраль_Июнь_БУХ_РЕЧ" xfId="1096"/>
    <cellStyle name="_СЧДОГ_Февраль_Июнь_ВЕБДИЗ" xfId="1097"/>
    <cellStyle name="_СЧДОГ_Февраль_Июнь_ВЕБМАСТ" xfId="1098"/>
    <cellStyle name="_СЧДОГ_Февраль_Июнь_ВЕБМАСТ_БЕЛ" xfId="1099"/>
    <cellStyle name="_СЧДОГ_Февраль_Июнь_ВЕБМАСТ_РЕЧ" xfId="1100"/>
    <cellStyle name="_СЧДОГ_Февраль_Июнь_Дети" xfId="1101"/>
    <cellStyle name="_СЧДОГ_Февраль_Июнь_Дистанц." xfId="1102"/>
    <cellStyle name="_СЧДОГ_Февраль_Июнь_Индив." xfId="1103"/>
    <cellStyle name="_СЧДОГ_Февраль_Июнь_Индив._БЕЛ" xfId="1104"/>
    <cellStyle name="_СЧДОГ_Февраль_Июнь_Индив._РЕЧ" xfId="1105"/>
    <cellStyle name="_СЧДОГ_Февраль_Июнь_Июнь" xfId="1106"/>
    <cellStyle name="_СЧДОГ_Февраль_Июнь_Июнь_Август" xfId="1107"/>
    <cellStyle name="_СЧДОГ_Февраль_Июнь_Июнь_Дистанц." xfId="1108"/>
    <cellStyle name="_СЧДОГ_Февраль_Июнь_Июнь_Индив." xfId="1109"/>
    <cellStyle name="_СЧДОГ_Февраль_Июнь_Июнь_КБУ" xfId="1110"/>
    <cellStyle name="_СЧДОГ_Февраль_Июнь_КБУ" xfId="1111"/>
    <cellStyle name="_СЧДОГ_Февраль_Июнь_КРН" xfId="1112"/>
    <cellStyle name="_СЧДОГ_Февраль_Июнь_ОПШ" xfId="1113"/>
    <cellStyle name="_СЧДОГ_Февраль_Июнь_СР" xfId="1114"/>
    <cellStyle name="_СЧДОГ_Февраль_КБУ" xfId="1115"/>
    <cellStyle name="_СЧДОГ_Февраль_КРН" xfId="1116"/>
    <cellStyle name="_СЧДОГ_Февраль_Май" xfId="1117"/>
    <cellStyle name="_СЧДОГ_Февраль_Май_Август" xfId="1118"/>
    <cellStyle name="_СЧДОГ_Февраль_Май_Август_Дистанц." xfId="1119"/>
    <cellStyle name="_СЧДОГ_Февраль_Май_Август_Индив." xfId="1120"/>
    <cellStyle name="_СЧДОГ_Февраль_Май_БЕЛ" xfId="1121"/>
    <cellStyle name="_СЧДОГ_Февраль_Май_БИНТ" xfId="1122"/>
    <cellStyle name="_СЧДОГ_Февраль_Май_БИНТ_БЕЛ" xfId="1123"/>
    <cellStyle name="_СЧДОГ_Февраль_Май_БИНТ_РЕЧ" xfId="1124"/>
    <cellStyle name="_СЧДОГ_Февраль_Май_ВЕБДИЗ" xfId="1125"/>
    <cellStyle name="_СЧДОГ_Февраль_Май_ВЕБМАСТ" xfId="1126"/>
    <cellStyle name="_СЧДОГ_Февраль_Май_ВЕБМАСТ_БЕЛ" xfId="1127"/>
    <cellStyle name="_СЧДОГ_Февраль_Май_ВЕБМАСТ_РЕЧ" xfId="1128"/>
    <cellStyle name="_СЧДОГ_Февраль_Май_Дети" xfId="1129"/>
    <cellStyle name="_СЧДОГ_Февраль_Май_Дистанц." xfId="1130"/>
    <cellStyle name="_СЧДОГ_Февраль_Май_Индив." xfId="1131"/>
    <cellStyle name="_СЧДОГ_Февраль_Май_Индив._БЕЛ" xfId="1132"/>
    <cellStyle name="_СЧДОГ_Февраль_Май_Индив._РЕЧ" xfId="1133"/>
    <cellStyle name="_СЧДОГ_Февраль_Май_Июнь" xfId="1134"/>
    <cellStyle name="_СЧДОГ_Февраль_Май_Июнь_Август" xfId="1135"/>
    <cellStyle name="_СЧДОГ_Февраль_Май_Июнь_Дистанц." xfId="1136"/>
    <cellStyle name="_СЧДОГ_Февраль_Май_Июнь_Индив." xfId="1137"/>
    <cellStyle name="_СЧДОГ_Февраль_Май_Июнь_КБУ" xfId="1138"/>
    <cellStyle name="_СЧДОГ_Февраль_Май_КБУ" xfId="1139"/>
    <cellStyle name="_СЧДОГ_Февраль_Май_КРН" xfId="1140"/>
    <cellStyle name="_СЧДОГ_Февраль_Май_ОПШ" xfId="1141"/>
    <cellStyle name="_СЧДОГ_Февраль_Май_СР" xfId="1142"/>
    <cellStyle name="_СЧДОГ_Февраль_ОПШ" xfId="1143"/>
    <cellStyle name="_СЧДОГ_Февраль_РЕЧ" xfId="1144"/>
    <cellStyle name="_СЧДОГ_Февраль_РЕЧ_БЕЛ" xfId="1145"/>
    <cellStyle name="_СЧДОГ_Февраль_РЕЧ_РЕЧ" xfId="1146"/>
    <cellStyle name="_СЧДОГ_Февраль_СИ" xfId="1147"/>
    <cellStyle name="_СЧДОГ_Февраль_СИ_БЕЛ" xfId="1148"/>
    <cellStyle name="_СЧДОГ_Февраль_СИ_РЕЧ" xfId="1149"/>
    <cellStyle name="_СЧДОГ_Февраль_СР" xfId="1150"/>
    <cellStyle name="_СЧДОГ_Февраль_СУБД" xfId="1151"/>
    <cellStyle name="_СЧДОГ_Февраль_СУБД_БЕЛ" xfId="1152"/>
    <cellStyle name="_СЧДОГ_Февраль_СУБД_РЕЧ" xfId="1153"/>
    <cellStyle name="_СЧДОГ_ФШ" xfId="1154"/>
    <cellStyle name="_СЧДОГ_ФШ_БЕЛ" xfId="1155"/>
    <cellStyle name="_СЧДОГ_ФШ_РЕЧ" xfId="1156"/>
    <cellStyle name="_ТЕК" xfId="1157"/>
    <cellStyle name="_ТЕК_БЕЛ" xfId="1158"/>
    <cellStyle name="_ТЕК_РЕЧ" xfId="1159"/>
    <cellStyle name="_ТОР" xfId="1160"/>
    <cellStyle name="_ТОР_БЕЛ" xfId="1161"/>
    <cellStyle name="_ТОР_РЕЧ" xfId="1162"/>
    <cellStyle name="_Февраль" xfId="1163"/>
    <cellStyle name="_Февраль_Август" xfId="1164"/>
    <cellStyle name="_Февраль_Август_Дистанц." xfId="1165"/>
    <cellStyle name="_Февраль_Август_Индив." xfId="1166"/>
    <cellStyle name="_Февраль_АКАД" xfId="1167"/>
    <cellStyle name="_Февраль_АКАД_БЕЛ" xfId="1168"/>
    <cellStyle name="_Февраль_АКАД_РЕЧ" xfId="1169"/>
    <cellStyle name="_Февраль_Б9560" xfId="1170"/>
    <cellStyle name="_Февраль_Б9560_БЕЛ" xfId="1171"/>
    <cellStyle name="_Февраль_Б9560_РЕЧ" xfId="1172"/>
    <cellStyle name="_Февраль_БЕЛ" xfId="1173"/>
    <cellStyle name="_Февраль_БИНТ" xfId="1174"/>
    <cellStyle name="_Февраль_БИНТ_БЕЛ" xfId="1175"/>
    <cellStyle name="_Февраль_БИНТ_РЕЧ" xfId="1176"/>
    <cellStyle name="_Февраль_БУХ" xfId="1177"/>
    <cellStyle name="_Февраль_БУХ_БЕЛ" xfId="1178"/>
    <cellStyle name="_Февраль_БУХ_РЕЧ" xfId="1179"/>
    <cellStyle name="_Февраль_ВЕБДИЗ" xfId="1180"/>
    <cellStyle name="_Февраль_ВЕБМАСТ" xfId="1181"/>
    <cellStyle name="_Февраль_ВЕБМАСТ_БЕЛ" xfId="1182"/>
    <cellStyle name="_Февраль_ВЕБМАСТ_РЕЧ" xfId="1183"/>
    <cellStyle name="_Февраль_Дети" xfId="1184"/>
    <cellStyle name="_Февраль_Дистанц." xfId="1185"/>
    <cellStyle name="_Февраль_Индив." xfId="1186"/>
    <cellStyle name="_Февраль_Индив._БЕЛ" xfId="1187"/>
    <cellStyle name="_Февраль_Индив._РЕЧ" xfId="1188"/>
    <cellStyle name="_Февраль_Июль" xfId="1189"/>
    <cellStyle name="_Февраль_Июль_Август" xfId="1190"/>
    <cellStyle name="_Февраль_Июль_Август_Дистанц." xfId="1191"/>
    <cellStyle name="_Февраль_Июль_Август_Индив." xfId="1192"/>
    <cellStyle name="_Февраль_Июль_БЕЛ" xfId="1193"/>
    <cellStyle name="_Февраль_Июль_БИНТ" xfId="1194"/>
    <cellStyle name="_Февраль_Июль_БИНТ_БЕЛ" xfId="1195"/>
    <cellStyle name="_Февраль_Июль_БИНТ_РЕЧ" xfId="1196"/>
    <cellStyle name="_Февраль_Июль_ВЕБДИЗ" xfId="1197"/>
    <cellStyle name="_Февраль_Июль_ВЕБМАСТ" xfId="1198"/>
    <cellStyle name="_Февраль_Июль_ВЕБМАСТ_БЕЛ" xfId="1199"/>
    <cellStyle name="_Февраль_Июль_ВЕБМАСТ_РЕЧ" xfId="1200"/>
    <cellStyle name="_Февраль_Июль_Дети" xfId="1201"/>
    <cellStyle name="_Февраль_Июль_Дистанц." xfId="1202"/>
    <cellStyle name="_Февраль_Июль_Индив." xfId="1203"/>
    <cellStyle name="_Февраль_Июль_Индив._БЕЛ" xfId="1204"/>
    <cellStyle name="_Февраль_Июль_Индив._РЕЧ" xfId="1205"/>
    <cellStyle name="_Февраль_Июль_Июнь" xfId="1206"/>
    <cellStyle name="_Февраль_Июль_Июнь_Август" xfId="1207"/>
    <cellStyle name="_Февраль_Июль_Июнь_Дистанц." xfId="1208"/>
    <cellStyle name="_Февраль_Июль_Июнь_Индив." xfId="1209"/>
    <cellStyle name="_Февраль_Июль_Июнь_КБУ" xfId="1210"/>
    <cellStyle name="_Февраль_Июль_КБУ" xfId="1211"/>
    <cellStyle name="_Февраль_Июль_КРН" xfId="1212"/>
    <cellStyle name="_Февраль_Июль_ОПШ" xfId="1213"/>
    <cellStyle name="_Февраль_Июль_СР" xfId="1214"/>
    <cellStyle name="_Февраль_Июнь" xfId="1215"/>
    <cellStyle name="_Февраль_Июнь_1" xfId="1216"/>
    <cellStyle name="_Февраль_Июнь_1_Август" xfId="1217"/>
    <cellStyle name="_Февраль_Июнь_1_Дистанц." xfId="1218"/>
    <cellStyle name="_Февраль_Июнь_1_Индив." xfId="1219"/>
    <cellStyle name="_Февраль_Июнь_1_КБУ" xfId="1220"/>
    <cellStyle name="_Февраль_Июнь_Август" xfId="1221"/>
    <cellStyle name="_Февраль_Июнь_Август_Дистанц." xfId="1222"/>
    <cellStyle name="_Февраль_Июнь_Август_Индив." xfId="1223"/>
    <cellStyle name="_Февраль_Июнь_БЕЛ" xfId="1224"/>
    <cellStyle name="_Февраль_Июнь_БИНТ" xfId="1225"/>
    <cellStyle name="_Февраль_Июнь_БИНТ_БЕЛ" xfId="1226"/>
    <cellStyle name="_Февраль_Июнь_БИНТ_РЕЧ" xfId="1227"/>
    <cellStyle name="_Февраль_Июнь_БУХ" xfId="1228"/>
    <cellStyle name="_Февраль_Июнь_БУХ_БЕЛ" xfId="1229"/>
    <cellStyle name="_Февраль_Июнь_БУХ_РЕЧ" xfId="1230"/>
    <cellStyle name="_Февраль_Июнь_ВЕБДИЗ" xfId="1231"/>
    <cellStyle name="_Февраль_Июнь_ВЕБМАСТ" xfId="1232"/>
    <cellStyle name="_Февраль_Июнь_ВЕБМАСТ_БЕЛ" xfId="1233"/>
    <cellStyle name="_Февраль_Июнь_ВЕБМАСТ_РЕЧ" xfId="1234"/>
    <cellStyle name="_Февраль_Июнь_Дети" xfId="1235"/>
    <cellStyle name="_Февраль_Июнь_Дистанц." xfId="1236"/>
    <cellStyle name="_Февраль_Июнь_Индив." xfId="1237"/>
    <cellStyle name="_Февраль_Июнь_Индив._БЕЛ" xfId="1238"/>
    <cellStyle name="_Февраль_Июнь_Индив._РЕЧ" xfId="1239"/>
    <cellStyle name="_Февраль_Июнь_Июнь" xfId="1240"/>
    <cellStyle name="_Февраль_Июнь_Июнь_Август" xfId="1241"/>
    <cellStyle name="_Февраль_Июнь_Июнь_Дистанц." xfId="1242"/>
    <cellStyle name="_Февраль_Июнь_Июнь_Индив." xfId="1243"/>
    <cellStyle name="_Февраль_Июнь_Июнь_КБУ" xfId="1244"/>
    <cellStyle name="_Февраль_Июнь_КБУ" xfId="1245"/>
    <cellStyle name="_Февраль_Июнь_КРН" xfId="1246"/>
    <cellStyle name="_Февраль_Июнь_ОПШ" xfId="1247"/>
    <cellStyle name="_Февраль_Июнь_СР" xfId="1248"/>
    <cellStyle name="_Февраль_КБУ" xfId="1249"/>
    <cellStyle name="_Февраль_КРН" xfId="1250"/>
    <cellStyle name="_Февраль_Май" xfId="1251"/>
    <cellStyle name="_Февраль_Май_Август" xfId="1252"/>
    <cellStyle name="_Февраль_Май_Август_Дистанц." xfId="1253"/>
    <cellStyle name="_Февраль_Май_Август_Индив." xfId="1254"/>
    <cellStyle name="_Февраль_Май_БЕЛ" xfId="1255"/>
    <cellStyle name="_Февраль_Май_БИНТ" xfId="1256"/>
    <cellStyle name="_Февраль_Май_БИНТ_БЕЛ" xfId="1257"/>
    <cellStyle name="_Февраль_Май_БИНТ_РЕЧ" xfId="1258"/>
    <cellStyle name="_Февраль_Май_ВЕБДИЗ" xfId="1259"/>
    <cellStyle name="_Февраль_Май_ВЕБМАСТ" xfId="1260"/>
    <cellStyle name="_Февраль_Май_ВЕБМАСТ_БЕЛ" xfId="1261"/>
    <cellStyle name="_Февраль_Май_ВЕБМАСТ_РЕЧ" xfId="1262"/>
    <cellStyle name="_Февраль_Май_Дети" xfId="1263"/>
    <cellStyle name="_Февраль_Май_Дистанц." xfId="1264"/>
    <cellStyle name="_Февраль_Май_Индив." xfId="1265"/>
    <cellStyle name="_Февраль_Май_Индив._БЕЛ" xfId="1266"/>
    <cellStyle name="_Февраль_Май_Индив._РЕЧ" xfId="1267"/>
    <cellStyle name="_Февраль_Май_Июнь" xfId="1268"/>
    <cellStyle name="_Февраль_Май_Июнь_Август" xfId="1269"/>
    <cellStyle name="_Февраль_Май_Июнь_Дистанц." xfId="1270"/>
    <cellStyle name="_Февраль_Май_Июнь_Индив." xfId="1271"/>
    <cellStyle name="_Февраль_Май_Июнь_КБУ" xfId="1272"/>
    <cellStyle name="_Февраль_Май_КБУ" xfId="1273"/>
    <cellStyle name="_Февраль_Май_КРН" xfId="1274"/>
    <cellStyle name="_Февраль_Май_ОПШ" xfId="1275"/>
    <cellStyle name="_Февраль_Май_СР" xfId="1276"/>
    <cellStyle name="_Февраль_ОПШ" xfId="1277"/>
    <cellStyle name="_Февраль_РЕЧ" xfId="1278"/>
    <cellStyle name="_Февраль_РЕЧ_БЕЛ" xfId="1279"/>
    <cellStyle name="_Февраль_РЕЧ_РЕЧ" xfId="1280"/>
    <cellStyle name="_Февраль_СИ" xfId="1281"/>
    <cellStyle name="_Февраль_СИ_БЕЛ" xfId="1282"/>
    <cellStyle name="_Февраль_СИ_РЕЧ" xfId="1283"/>
    <cellStyle name="_Февраль_СР" xfId="1284"/>
    <cellStyle name="_Февраль_СУБД" xfId="1285"/>
    <cellStyle name="_Февраль_СУБД_БЕЛ" xfId="1286"/>
    <cellStyle name="_Февраль_СУБД_РЕЧ" xfId="1287"/>
    <cellStyle name="_ФШ" xfId="1288"/>
    <cellStyle name="_ФШ_Апрель" xfId="1289"/>
    <cellStyle name="_ФШ_Апрель_БЕЛ" xfId="1290"/>
    <cellStyle name="_ФШ_Апрель_РЕЧ" xfId="1291"/>
    <cellStyle name="_ФШ_БЕЛ" xfId="1292"/>
    <cellStyle name="_ФШ_Июль" xfId="1293"/>
    <cellStyle name="_ФШ_Июль_БЕЛ" xfId="1294"/>
    <cellStyle name="_ФШ_Июль_РЕЧ" xfId="1295"/>
    <cellStyle name="_ФШ_Июнь" xfId="1296"/>
    <cellStyle name="_ФШ_Июнь_БЕЛ" xfId="1297"/>
    <cellStyle name="_ФШ_Июнь_РЕЧ" xfId="1298"/>
    <cellStyle name="_ФШ_Май" xfId="1299"/>
    <cellStyle name="_ФШ_Май_БЕЛ" xfId="1300"/>
    <cellStyle name="_ФШ_Май_РЕЧ" xfId="1301"/>
    <cellStyle name="_ФШ_РЕЧ" xfId="1302"/>
    <cellStyle name="_ФШ_Февраль" xfId="1303"/>
    <cellStyle name="_ФШ_Февраль_БЕЛ" xfId="1304"/>
    <cellStyle name="_ФШ_Февраль_РЕЧ" xfId="1305"/>
    <cellStyle name="_ФШ_Январь" xfId="1306"/>
    <cellStyle name="_ФШ_Январь_БЕЛ" xfId="1307"/>
    <cellStyle name="_ФШ_Январь_РЕЧ" xfId="1308"/>
    <cellStyle name="_Январь" xfId="1309"/>
    <cellStyle name="_Январь_3ДМ" xfId="1310"/>
    <cellStyle name="_Январь_3ДМ_БЕЛ" xfId="1311"/>
    <cellStyle name="_Январь_3ДМ_РЕЧ" xfId="1312"/>
    <cellStyle name="_Январь_Август" xfId="1313"/>
    <cellStyle name="_Январь_Август_Дистанц." xfId="1314"/>
    <cellStyle name="_Январь_Август_Индив." xfId="1315"/>
    <cellStyle name="_Январь_АКАД" xfId="1316"/>
    <cellStyle name="_Январь_АКАД_БЕЛ" xfId="1317"/>
    <cellStyle name="_Январь_АКАД_РЕЧ" xfId="1318"/>
    <cellStyle name="_Январь_Апрель" xfId="1319"/>
    <cellStyle name="_Январь_Апрель_3ДМ" xfId="1320"/>
    <cellStyle name="_Январь_Апрель_3ДМ_БЕЛ" xfId="1321"/>
    <cellStyle name="_Январь_Апрель_3ДМ_РЕЧ" xfId="1322"/>
    <cellStyle name="_Январь_Апрель_Август" xfId="1323"/>
    <cellStyle name="_Январь_Апрель_Август_Дистанц." xfId="1324"/>
    <cellStyle name="_Январь_Апрель_Август_Индив." xfId="1325"/>
    <cellStyle name="_Январь_Апрель_АКАД" xfId="1326"/>
    <cellStyle name="_Январь_Апрель_АКАД_БЕЛ" xfId="1327"/>
    <cellStyle name="_Январь_Апрель_АКАД_РЕЧ" xfId="1328"/>
    <cellStyle name="_Январь_Апрель_Б9560" xfId="1329"/>
    <cellStyle name="_Январь_Апрель_Б9560_БЕЛ" xfId="1330"/>
    <cellStyle name="_Январь_Апрель_Б9560_РЕЧ" xfId="1331"/>
    <cellStyle name="_Январь_Апрель_БЕЛ" xfId="1332"/>
    <cellStyle name="_Январь_Апрель_БИНТ" xfId="1333"/>
    <cellStyle name="_Январь_Апрель_БИНТ_БЕЛ" xfId="1334"/>
    <cellStyle name="_Январь_Апрель_БИНТ_РЕЧ" xfId="1335"/>
    <cellStyle name="_Январь_Апрель_БУХ" xfId="1336"/>
    <cellStyle name="_Январь_Апрель_БУХ_БЕЛ" xfId="1337"/>
    <cellStyle name="_Январь_Апрель_БУХ_РЕЧ" xfId="1338"/>
    <cellStyle name="_Январь_Апрель_ВЕБДИЗ" xfId="1339"/>
    <cellStyle name="_Январь_Апрель_ВЕБДИЗ_БЕЛ" xfId="1340"/>
    <cellStyle name="_Январь_Апрель_ВЕБДИЗ_РЕЧ" xfId="1341"/>
    <cellStyle name="_Январь_Апрель_ВЕБМАСТ" xfId="1342"/>
    <cellStyle name="_Январь_Апрель_ВЕБМАСТ_БЕЛ" xfId="1343"/>
    <cellStyle name="_Январь_Апрель_ВЕБМАСТ_РЕЧ" xfId="1344"/>
    <cellStyle name="_Январь_Апрель_ВУЕ" xfId="1345"/>
    <cellStyle name="_Январь_Апрель_ВУЕ_БЕЛ" xfId="1346"/>
    <cellStyle name="_Январь_Апрель_ВУЕ_РЕЧ" xfId="1347"/>
    <cellStyle name="_Январь_Апрель_Дети" xfId="1348"/>
    <cellStyle name="_Январь_Апрель_Дети_БЕЛ" xfId="1349"/>
    <cellStyle name="_Январь_Апрель_Дети_РЕЧ" xfId="1350"/>
    <cellStyle name="_Январь_Апрель_Дистанц." xfId="1351"/>
    <cellStyle name="_Январь_Апрель_Индив." xfId="1352"/>
    <cellStyle name="_Январь_Апрель_Индив._БЕЛ" xfId="1353"/>
    <cellStyle name="_Январь_Апрель_Индив._РЕЧ" xfId="1354"/>
    <cellStyle name="_Январь_Апрель_Июль" xfId="1355"/>
    <cellStyle name="_Январь_Апрель_Июль_Август" xfId="1356"/>
    <cellStyle name="_Январь_Апрель_Июль_Август_Дистанц." xfId="1357"/>
    <cellStyle name="_Январь_Апрель_Июль_Август_Индив." xfId="1358"/>
    <cellStyle name="_Январь_Апрель_Июль_БЕЛ" xfId="1359"/>
    <cellStyle name="_Январь_Апрель_Июль_БИНТ" xfId="1360"/>
    <cellStyle name="_Январь_Апрель_Июль_БИНТ_БЕЛ" xfId="1361"/>
    <cellStyle name="_Январь_Апрель_Июль_БИНТ_РЕЧ" xfId="1362"/>
    <cellStyle name="_Январь_Апрель_Июль_ВЕБДИЗ" xfId="1363"/>
    <cellStyle name="_Январь_Апрель_Июль_ВЕБМАСТ" xfId="1364"/>
    <cellStyle name="_Январь_Апрель_Июль_ВЕБМАСТ_БЕЛ" xfId="1365"/>
    <cellStyle name="_Январь_Апрель_Июль_ВЕБМАСТ_РЕЧ" xfId="1366"/>
    <cellStyle name="_Январь_Апрель_Июль_Дети" xfId="1367"/>
    <cellStyle name="_Январь_Апрель_Июль_Дистанц." xfId="1368"/>
    <cellStyle name="_Январь_Апрель_Июль_Индив." xfId="1369"/>
    <cellStyle name="_Январь_Апрель_Июль_Индив._БЕЛ" xfId="1370"/>
    <cellStyle name="_Январь_Апрель_Июль_Индив._РЕЧ" xfId="1371"/>
    <cellStyle name="_Январь_Апрель_Июль_Июнь" xfId="1372"/>
    <cellStyle name="_Январь_Апрель_Июль_Июнь_Август" xfId="1373"/>
    <cellStyle name="_Январь_Апрель_Июль_Июнь_Дистанц." xfId="1374"/>
    <cellStyle name="_Январь_Апрель_Июль_Июнь_Индив." xfId="1375"/>
    <cellStyle name="_Январь_Апрель_Июль_Июнь_КБУ" xfId="1376"/>
    <cellStyle name="_Январь_Апрель_Июль_КБУ" xfId="1377"/>
    <cellStyle name="_Январь_Апрель_Июль_КРН" xfId="1378"/>
    <cellStyle name="_Январь_Апрель_Июль_ОПШ" xfId="1379"/>
    <cellStyle name="_Январь_Апрель_Июль_СР" xfId="1380"/>
    <cellStyle name="_Январь_Апрель_Июнь" xfId="1381"/>
    <cellStyle name="_Январь_Апрель_Июнь_1" xfId="1382"/>
    <cellStyle name="_Январь_Апрель_Июнь_1_Август" xfId="1383"/>
    <cellStyle name="_Январь_Апрель_Июнь_1_Дистанц." xfId="1384"/>
    <cellStyle name="_Январь_Апрель_Июнь_1_Индив." xfId="1385"/>
    <cellStyle name="_Январь_Апрель_Июнь_1_КБУ" xfId="1386"/>
    <cellStyle name="_Январь_Апрель_Июнь_Август" xfId="1387"/>
    <cellStyle name="_Январь_Апрель_Июнь_Август_Дистанц." xfId="1388"/>
    <cellStyle name="_Январь_Апрель_Июнь_Август_Индив." xfId="1389"/>
    <cellStyle name="_Январь_Апрель_Июнь_БЕЛ" xfId="1390"/>
    <cellStyle name="_Январь_Апрель_Июнь_БИНТ" xfId="1391"/>
    <cellStyle name="_Январь_Апрель_Июнь_БИНТ_БЕЛ" xfId="1392"/>
    <cellStyle name="_Январь_Апрель_Июнь_БИНТ_РЕЧ" xfId="1393"/>
    <cellStyle name="_Январь_Апрель_Июнь_БУХ" xfId="1394"/>
    <cellStyle name="_Январь_Апрель_Июнь_БУХ_БЕЛ" xfId="1395"/>
    <cellStyle name="_Январь_Апрель_Июнь_БУХ_РЕЧ" xfId="1396"/>
    <cellStyle name="_Январь_Апрель_Июнь_ВЕБДИЗ" xfId="1397"/>
    <cellStyle name="_Январь_Апрель_Июнь_ВЕБМАСТ" xfId="1398"/>
    <cellStyle name="_Январь_Апрель_Июнь_ВЕБМАСТ_БЕЛ" xfId="1399"/>
    <cellStyle name="_Январь_Апрель_Июнь_ВЕБМАСТ_РЕЧ" xfId="1400"/>
    <cellStyle name="_Январь_Апрель_Июнь_Дети" xfId="1401"/>
    <cellStyle name="_Январь_Апрель_Июнь_Дистанц." xfId="1402"/>
    <cellStyle name="_Январь_Апрель_Июнь_Индив." xfId="1403"/>
    <cellStyle name="_Январь_Апрель_Июнь_Индив._БЕЛ" xfId="1404"/>
    <cellStyle name="_Январь_Апрель_Июнь_Индив._РЕЧ" xfId="1405"/>
    <cellStyle name="_Январь_Апрель_Июнь_Июнь" xfId="1406"/>
    <cellStyle name="_Январь_Апрель_Июнь_Июнь_Август" xfId="1407"/>
    <cellStyle name="_Январь_Апрель_Июнь_Июнь_Дистанц." xfId="1408"/>
    <cellStyle name="_Январь_Апрель_Июнь_Июнь_Индив." xfId="1409"/>
    <cellStyle name="_Январь_Апрель_Июнь_Июнь_КБУ" xfId="1410"/>
    <cellStyle name="_Январь_Апрель_Июнь_КБУ" xfId="1411"/>
    <cellStyle name="_Январь_Апрель_Июнь_КРН" xfId="1412"/>
    <cellStyle name="_Январь_Апрель_Июнь_ОПШ" xfId="1413"/>
    <cellStyle name="_Январь_Апрель_Июнь_СР" xfId="1414"/>
    <cellStyle name="_Январь_Апрель_КБУ" xfId="1415"/>
    <cellStyle name="_Январь_Апрель_КБУ_БЕЛ" xfId="1416"/>
    <cellStyle name="_Январь_Апрель_КБУ_РЕЧ" xfId="1417"/>
    <cellStyle name="_Январь_Апрель_КРН" xfId="1418"/>
    <cellStyle name="_Январь_Апрель_Май" xfId="1419"/>
    <cellStyle name="_Январь_Апрель_Май_1" xfId="1420"/>
    <cellStyle name="_Январь_Апрель_Май_1_Август" xfId="1421"/>
    <cellStyle name="_Январь_Апрель_Май_1_Август_Дистанц." xfId="1422"/>
    <cellStyle name="_Январь_Апрель_Май_1_Август_Индив." xfId="1423"/>
    <cellStyle name="_Январь_Апрель_Май_1_БЕЛ" xfId="1424"/>
    <cellStyle name="_Январь_Апрель_Май_1_БИНТ" xfId="1425"/>
    <cellStyle name="_Январь_Апрель_Май_1_БИНТ_БЕЛ" xfId="1426"/>
    <cellStyle name="_Январь_Апрель_Май_1_БИНТ_РЕЧ" xfId="1427"/>
    <cellStyle name="_Январь_Апрель_Май_1_ВЕБДИЗ" xfId="1428"/>
    <cellStyle name="_Январь_Апрель_Май_1_ВЕБМАСТ" xfId="1429"/>
    <cellStyle name="_Январь_Апрель_Май_1_ВЕБМАСТ_БЕЛ" xfId="1430"/>
    <cellStyle name="_Январь_Апрель_Май_1_ВЕБМАСТ_РЕЧ" xfId="1431"/>
    <cellStyle name="_Январь_Апрель_Май_1_Дети" xfId="1432"/>
    <cellStyle name="_Январь_Апрель_Май_1_Дистанц." xfId="1433"/>
    <cellStyle name="_Январь_Апрель_Май_1_Индив." xfId="1434"/>
    <cellStyle name="_Январь_Апрель_Май_1_Индив._БЕЛ" xfId="1435"/>
    <cellStyle name="_Январь_Апрель_Май_1_Индив._РЕЧ" xfId="1436"/>
    <cellStyle name="_Январь_Апрель_Май_1_Июнь" xfId="1437"/>
    <cellStyle name="_Январь_Апрель_Май_1_Июнь_Август" xfId="1438"/>
    <cellStyle name="_Январь_Апрель_Май_1_Июнь_Дистанц." xfId="1439"/>
    <cellStyle name="_Январь_Апрель_Май_1_Июнь_Индив." xfId="1440"/>
    <cellStyle name="_Январь_Апрель_Май_1_Июнь_КБУ" xfId="1441"/>
    <cellStyle name="_Январь_Апрель_Май_1_КБУ" xfId="1442"/>
    <cellStyle name="_Январь_Апрель_Май_1_КРН" xfId="1443"/>
    <cellStyle name="_Январь_Апрель_Май_1_ОПШ" xfId="1444"/>
    <cellStyle name="_Январь_Апрель_Май_1_СР" xfId="1445"/>
    <cellStyle name="_Январь_Апрель_Май_Август" xfId="1446"/>
    <cellStyle name="_Январь_Апрель_Май_Август_Дистанц." xfId="1447"/>
    <cellStyle name="_Январь_Апрель_Май_Август_Индив." xfId="1448"/>
    <cellStyle name="_Январь_Апрель_Май_АКАД" xfId="1449"/>
    <cellStyle name="_Январь_Апрель_Май_АКАД_БЕЛ" xfId="1450"/>
    <cellStyle name="_Январь_Апрель_Май_АКАД_РЕЧ" xfId="1451"/>
    <cellStyle name="_Январь_Апрель_Май_Б9560" xfId="1452"/>
    <cellStyle name="_Январь_Апрель_Май_Б9560_БЕЛ" xfId="1453"/>
    <cellStyle name="_Январь_Апрель_Май_Б9560_РЕЧ" xfId="1454"/>
    <cellStyle name="_Январь_Апрель_Май_БЕЛ" xfId="1455"/>
    <cellStyle name="_Январь_Апрель_Май_БИНТ" xfId="1456"/>
    <cellStyle name="_Январь_Апрель_Май_БИНТ_БЕЛ" xfId="1457"/>
    <cellStyle name="_Январь_Апрель_Май_БИНТ_РЕЧ" xfId="1458"/>
    <cellStyle name="_Январь_Апрель_Май_БУХ" xfId="1459"/>
    <cellStyle name="_Январь_Апрель_Май_БУХ_БЕЛ" xfId="1460"/>
    <cellStyle name="_Январь_Апрель_Май_БУХ_РЕЧ" xfId="1461"/>
    <cellStyle name="_Январь_Апрель_Май_ВЕБДИЗ" xfId="1462"/>
    <cellStyle name="_Январь_Апрель_Май_ВЕБМАСТ" xfId="1463"/>
    <cellStyle name="_Январь_Апрель_Май_ВЕБМАСТ_БЕЛ" xfId="1464"/>
    <cellStyle name="_Январь_Апрель_Май_ВЕБМАСТ_РЕЧ" xfId="1465"/>
    <cellStyle name="_Январь_Апрель_Май_Дети" xfId="1466"/>
    <cellStyle name="_Январь_Апрель_Май_Дистанц." xfId="1467"/>
    <cellStyle name="_Январь_Апрель_Май_Индив." xfId="1468"/>
    <cellStyle name="_Январь_Апрель_Май_Индив._БЕЛ" xfId="1469"/>
    <cellStyle name="_Январь_Апрель_Май_Индив._РЕЧ" xfId="1470"/>
    <cellStyle name="_Январь_Апрель_Май_Июль" xfId="1471"/>
    <cellStyle name="_Январь_Апрель_Май_Июль_Август" xfId="1472"/>
    <cellStyle name="_Январь_Апрель_Май_Июль_Август_Дистанц." xfId="1473"/>
    <cellStyle name="_Январь_Апрель_Май_Июль_Август_Индив." xfId="1474"/>
    <cellStyle name="_Январь_Апрель_Май_Июль_БЕЛ" xfId="1475"/>
    <cellStyle name="_Январь_Апрель_Май_Июль_БИНТ" xfId="1476"/>
    <cellStyle name="_Январь_Апрель_Май_Июль_БИНТ_БЕЛ" xfId="1477"/>
    <cellStyle name="_Январь_Апрель_Май_Июль_БИНТ_РЕЧ" xfId="1478"/>
    <cellStyle name="_Январь_Апрель_Май_Июль_ВЕБДИЗ" xfId="1479"/>
    <cellStyle name="_Январь_Апрель_Май_Июль_ВЕБМАСТ" xfId="1480"/>
    <cellStyle name="_Январь_Апрель_Май_Июль_ВЕБМАСТ_БЕЛ" xfId="1481"/>
    <cellStyle name="_Январь_Апрель_Май_Июль_ВЕБМАСТ_РЕЧ" xfId="1482"/>
    <cellStyle name="_Январь_Апрель_Май_Июль_Дети" xfId="1483"/>
    <cellStyle name="_Январь_Апрель_Май_Июль_Дистанц." xfId="1484"/>
    <cellStyle name="_Январь_Апрель_Май_Июль_Индив." xfId="1485"/>
    <cellStyle name="_Январь_Апрель_Май_Июль_Индив._БЕЛ" xfId="1486"/>
    <cellStyle name="_Январь_Апрель_Май_Июль_Индив._РЕЧ" xfId="1487"/>
    <cellStyle name="_Январь_Апрель_Май_Июль_Июнь" xfId="1488"/>
    <cellStyle name="_Январь_Апрель_Май_Июль_Июнь_Август" xfId="1489"/>
    <cellStyle name="_Январь_Апрель_Май_Июль_Июнь_Дистанц." xfId="1490"/>
    <cellStyle name="_Январь_Апрель_Май_Июль_Июнь_Индив." xfId="1491"/>
    <cellStyle name="_Январь_Апрель_Май_Июль_Июнь_КБУ" xfId="1492"/>
    <cellStyle name="_Январь_Апрель_Май_Июль_КБУ" xfId="1493"/>
    <cellStyle name="_Январь_Апрель_Май_Июль_КРН" xfId="1494"/>
    <cellStyle name="_Январь_Апрель_Май_Июль_ОПШ" xfId="1495"/>
    <cellStyle name="_Январь_Апрель_Май_Июль_СР" xfId="1496"/>
    <cellStyle name="_Январь_Апрель_Май_Июнь" xfId="1497"/>
    <cellStyle name="_Январь_Апрель_Май_Июнь_1" xfId="1498"/>
    <cellStyle name="_Январь_Апрель_Май_Июнь_1_Август" xfId="1499"/>
    <cellStyle name="_Январь_Апрель_Май_Июнь_1_Дистанц." xfId="1500"/>
    <cellStyle name="_Январь_Апрель_Май_Июнь_1_Индив." xfId="1501"/>
    <cellStyle name="_Январь_Апрель_Май_Июнь_1_КБУ" xfId="1502"/>
    <cellStyle name="_Январь_Апрель_Май_Июнь_Август" xfId="1503"/>
    <cellStyle name="_Январь_Апрель_Май_Июнь_Август_Дистанц." xfId="1504"/>
    <cellStyle name="_Январь_Апрель_Май_Июнь_Август_Индив." xfId="1505"/>
    <cellStyle name="_Январь_Апрель_Май_Июнь_БЕЛ" xfId="1506"/>
    <cellStyle name="_Январь_Апрель_Май_Июнь_БИНТ" xfId="1507"/>
    <cellStyle name="_Январь_Апрель_Май_Июнь_БИНТ_БЕЛ" xfId="1508"/>
    <cellStyle name="_Январь_Апрель_Май_Июнь_БИНТ_РЕЧ" xfId="1509"/>
    <cellStyle name="_Январь_Апрель_Май_Июнь_БУХ" xfId="1510"/>
    <cellStyle name="_Январь_Апрель_Май_Июнь_БУХ_БЕЛ" xfId="1511"/>
    <cellStyle name="_Январь_Апрель_Май_Июнь_БУХ_РЕЧ" xfId="1512"/>
    <cellStyle name="_Январь_Апрель_Май_Июнь_ВЕБДИЗ" xfId="1513"/>
    <cellStyle name="_Январь_Апрель_Май_Июнь_ВЕБМАСТ" xfId="1514"/>
    <cellStyle name="_Январь_Апрель_Май_Июнь_ВЕБМАСТ_БЕЛ" xfId="1515"/>
    <cellStyle name="_Январь_Апрель_Май_Июнь_ВЕБМАСТ_РЕЧ" xfId="1516"/>
    <cellStyle name="_Январь_Апрель_Май_Июнь_Дети" xfId="1517"/>
    <cellStyle name="_Январь_Апрель_Май_Июнь_Дистанц." xfId="1518"/>
    <cellStyle name="_Январь_Апрель_Май_Июнь_Индив." xfId="1519"/>
    <cellStyle name="_Январь_Апрель_Май_Июнь_Индив._БЕЛ" xfId="1520"/>
    <cellStyle name="_Январь_Апрель_Май_Июнь_Индив._РЕЧ" xfId="1521"/>
    <cellStyle name="_Январь_Апрель_Май_Июнь_Июнь" xfId="1522"/>
    <cellStyle name="_Январь_Апрель_Май_Июнь_Июнь_Август" xfId="1523"/>
    <cellStyle name="_Январь_Апрель_Май_Июнь_Июнь_Дистанц." xfId="1524"/>
    <cellStyle name="_Январь_Апрель_Май_Июнь_Июнь_Индив." xfId="1525"/>
    <cellStyle name="_Январь_Апрель_Май_Июнь_Июнь_КБУ" xfId="1526"/>
    <cellStyle name="_Январь_Апрель_Май_Июнь_КБУ" xfId="1527"/>
    <cellStyle name="_Январь_Апрель_Май_Июнь_КРН" xfId="1528"/>
    <cellStyle name="_Январь_Апрель_Май_Июнь_ОПШ" xfId="1529"/>
    <cellStyle name="_Январь_Апрель_Май_Июнь_СР" xfId="1530"/>
    <cellStyle name="_Январь_Апрель_Май_КБУ" xfId="1531"/>
    <cellStyle name="_Январь_Апрель_Май_КРН" xfId="1532"/>
    <cellStyle name="_Январь_Апрель_Май_Май" xfId="1533"/>
    <cellStyle name="_Январь_Апрель_Май_Май_Август" xfId="1534"/>
    <cellStyle name="_Январь_Апрель_Май_Май_Август_Дистанц." xfId="1535"/>
    <cellStyle name="_Январь_Апрель_Май_Май_Август_Индив." xfId="1536"/>
    <cellStyle name="_Январь_Апрель_Май_Май_БЕЛ" xfId="1537"/>
    <cellStyle name="_Январь_Апрель_Май_Май_БИНТ" xfId="1538"/>
    <cellStyle name="_Январь_Апрель_Май_Май_БИНТ_БЕЛ" xfId="1539"/>
    <cellStyle name="_Январь_Апрель_Май_Май_БИНТ_РЕЧ" xfId="1540"/>
    <cellStyle name="_Январь_Апрель_Май_Май_ВЕБДИЗ" xfId="1541"/>
    <cellStyle name="_Январь_Апрель_Май_Май_ВЕБМАСТ" xfId="1542"/>
    <cellStyle name="_Январь_Апрель_Май_Май_ВЕБМАСТ_БЕЛ" xfId="1543"/>
    <cellStyle name="_Январь_Апрель_Май_Май_ВЕБМАСТ_РЕЧ" xfId="1544"/>
    <cellStyle name="_Январь_Апрель_Май_Май_Дети" xfId="1545"/>
    <cellStyle name="_Январь_Апрель_Май_Май_Дистанц." xfId="1546"/>
    <cellStyle name="_Январь_Апрель_Май_Май_Индив." xfId="1547"/>
    <cellStyle name="_Январь_Апрель_Май_Май_Индив._БЕЛ" xfId="1548"/>
    <cellStyle name="_Январь_Апрель_Май_Май_Индив._РЕЧ" xfId="1549"/>
    <cellStyle name="_Январь_Апрель_Май_Май_Июнь" xfId="1550"/>
    <cellStyle name="_Январь_Апрель_Май_Май_Июнь_Август" xfId="1551"/>
    <cellStyle name="_Январь_Апрель_Май_Май_Июнь_Дистанц." xfId="1552"/>
    <cellStyle name="_Январь_Апрель_Май_Май_Июнь_Индив." xfId="1553"/>
    <cellStyle name="_Январь_Апрель_Май_Май_Июнь_КБУ" xfId="1554"/>
    <cellStyle name="_Январь_Апрель_Май_Май_КБУ" xfId="1555"/>
    <cellStyle name="_Январь_Апрель_Май_Май_КРН" xfId="1556"/>
    <cellStyle name="_Январь_Апрель_Май_Май_ОПШ" xfId="1557"/>
    <cellStyle name="_Январь_Апрель_Май_Май_СР" xfId="1558"/>
    <cellStyle name="_Январь_Апрель_Май_ОПШ" xfId="1559"/>
    <cellStyle name="_Январь_Апрель_Май_РЕЧ" xfId="1560"/>
    <cellStyle name="_Январь_Апрель_Май_РЕЧ_БЕЛ" xfId="1561"/>
    <cellStyle name="_Январь_Апрель_Май_РЕЧ_РЕЧ" xfId="1562"/>
    <cellStyle name="_Январь_Апрель_Май_СИ" xfId="1563"/>
    <cellStyle name="_Январь_Апрель_Май_СИ_БЕЛ" xfId="1564"/>
    <cellStyle name="_Январь_Апрель_Май_СИ_РЕЧ" xfId="1565"/>
    <cellStyle name="_Январь_Апрель_Май_СР" xfId="1566"/>
    <cellStyle name="_Январь_Апрель_Май_СУБД" xfId="1567"/>
    <cellStyle name="_Январь_Апрель_Май_СУБД_БЕЛ" xfId="1568"/>
    <cellStyle name="_Январь_Апрель_Май_СУБД_РЕЧ" xfId="1569"/>
    <cellStyle name="_Январь_Апрель_НТ" xfId="1570"/>
    <cellStyle name="_Январь_Апрель_НТ_БЕЛ" xfId="1571"/>
    <cellStyle name="_Январь_Апрель_НТ_РЕЧ" xfId="1572"/>
    <cellStyle name="_Январь_Апрель_ОПШ" xfId="1573"/>
    <cellStyle name="_Январь_Апрель_Офис" xfId="1574"/>
    <cellStyle name="_Январь_Апрель_Офис_БЕЛ" xfId="1575"/>
    <cellStyle name="_Январь_Апрель_Офис_РЕЧ" xfId="1576"/>
    <cellStyle name="_Январь_Апрель_РЕЧ" xfId="1577"/>
    <cellStyle name="_Январь_Апрель_РЕЧ_БЕЛ" xfId="1578"/>
    <cellStyle name="_Январь_Апрель_РЕЧ_РЕЧ" xfId="1579"/>
    <cellStyle name="_Январь_Апрель_СИ" xfId="1580"/>
    <cellStyle name="_Январь_Апрель_СИ_БЕЛ" xfId="1581"/>
    <cellStyle name="_Январь_Апрель_СИ_РЕЧ" xfId="1582"/>
    <cellStyle name="_Январь_Апрель_СИС" xfId="1583"/>
    <cellStyle name="_Январь_Апрель_СИС_БЕЛ" xfId="1584"/>
    <cellStyle name="_Январь_Апрель_СИС_РЕЧ" xfId="1585"/>
    <cellStyle name="_Январь_Апрель_СР" xfId="1586"/>
    <cellStyle name="_Январь_Апрель_СУБД" xfId="1587"/>
    <cellStyle name="_Январь_Апрель_СУБД_БЕЛ" xfId="1588"/>
    <cellStyle name="_Январь_Апрель_СУБД_РЕЧ" xfId="1589"/>
    <cellStyle name="_Январь_Апрель_ТЕК" xfId="1590"/>
    <cellStyle name="_Январь_Апрель_ТЕК_БЕЛ" xfId="1591"/>
    <cellStyle name="_Январь_Апрель_ТЕК_РЕЧ" xfId="1592"/>
    <cellStyle name="_Январь_Апрель_Февраль" xfId="1593"/>
    <cellStyle name="_Январь_Апрель_Февраль_Август" xfId="1594"/>
    <cellStyle name="_Январь_Апрель_Февраль_Август_Дистанц." xfId="1595"/>
    <cellStyle name="_Январь_Апрель_Февраль_Август_Индив." xfId="1596"/>
    <cellStyle name="_Январь_Апрель_Февраль_АКАД" xfId="1597"/>
    <cellStyle name="_Январь_Апрель_Февраль_АКАД_БЕЛ" xfId="1598"/>
    <cellStyle name="_Январь_Апрель_Февраль_АКАД_РЕЧ" xfId="1599"/>
    <cellStyle name="_Январь_Апрель_Февраль_Б9560" xfId="1600"/>
    <cellStyle name="_Январь_Апрель_Февраль_Б9560_БЕЛ" xfId="1601"/>
    <cellStyle name="_Январь_Апрель_Февраль_Б9560_РЕЧ" xfId="1602"/>
    <cellStyle name="_Январь_Апрель_Февраль_БЕЛ" xfId="1603"/>
    <cellStyle name="_Январь_Апрель_Февраль_БИНТ" xfId="1604"/>
    <cellStyle name="_Январь_Апрель_Февраль_БИНТ_БЕЛ" xfId="1605"/>
    <cellStyle name="_Январь_Апрель_Февраль_БИНТ_РЕЧ" xfId="1606"/>
    <cellStyle name="_Январь_Апрель_Февраль_БУХ" xfId="1607"/>
    <cellStyle name="_Январь_Апрель_Февраль_БУХ_БЕЛ" xfId="1608"/>
    <cellStyle name="_Январь_Апрель_Февраль_БУХ_РЕЧ" xfId="1609"/>
    <cellStyle name="_Январь_Апрель_Февраль_ВЕБДИЗ" xfId="1610"/>
    <cellStyle name="_Январь_Апрель_Февраль_ВЕБМАСТ" xfId="1611"/>
    <cellStyle name="_Январь_Апрель_Февраль_ВЕБМАСТ_БЕЛ" xfId="1612"/>
    <cellStyle name="_Январь_Апрель_Февраль_ВЕБМАСТ_РЕЧ" xfId="1613"/>
    <cellStyle name="_Январь_Апрель_Февраль_Дети" xfId="1614"/>
    <cellStyle name="_Январь_Апрель_Февраль_Дистанц." xfId="1615"/>
    <cellStyle name="_Январь_Апрель_Февраль_Индив." xfId="1616"/>
    <cellStyle name="_Январь_Апрель_Февраль_Индив._БЕЛ" xfId="1617"/>
    <cellStyle name="_Январь_Апрель_Февраль_Индив._РЕЧ" xfId="1618"/>
    <cellStyle name="_Январь_Апрель_Февраль_Июль" xfId="1619"/>
    <cellStyle name="_Январь_Апрель_Февраль_Июль_Август" xfId="1620"/>
    <cellStyle name="_Январь_Апрель_Февраль_Июль_Август_Дистанц." xfId="1621"/>
    <cellStyle name="_Январь_Апрель_Февраль_Июль_Август_Индив." xfId="1622"/>
    <cellStyle name="_Январь_Апрель_Февраль_Июль_БЕЛ" xfId="1623"/>
    <cellStyle name="_Январь_Апрель_Февраль_Июль_БИНТ" xfId="1624"/>
    <cellStyle name="_Январь_Апрель_Февраль_Июль_БИНТ_БЕЛ" xfId="1625"/>
    <cellStyle name="_Январь_Апрель_Февраль_Июль_БИНТ_РЕЧ" xfId="1626"/>
    <cellStyle name="_Январь_Апрель_Февраль_Июль_ВЕБДИЗ" xfId="1627"/>
    <cellStyle name="_Январь_Апрель_Февраль_Июль_ВЕБМАСТ" xfId="1628"/>
    <cellStyle name="_Январь_Апрель_Февраль_Июль_ВЕБМАСТ_БЕЛ" xfId="1629"/>
    <cellStyle name="_Январь_Апрель_Февраль_Июль_ВЕБМАСТ_РЕЧ" xfId="1630"/>
    <cellStyle name="_Январь_Апрель_Февраль_Июль_Дети" xfId="1631"/>
    <cellStyle name="_Январь_Апрель_Февраль_Июль_Дистанц." xfId="1632"/>
    <cellStyle name="_Январь_Апрель_Февраль_Июль_Индив." xfId="1633"/>
    <cellStyle name="_Январь_Апрель_Февраль_Июль_Индив._БЕЛ" xfId="1634"/>
    <cellStyle name="_Январь_Апрель_Февраль_Июль_Индив._РЕЧ" xfId="1635"/>
    <cellStyle name="_Январь_Апрель_Февраль_Июль_Июнь" xfId="1636"/>
    <cellStyle name="_Январь_Апрель_Февраль_Июль_Июнь_Август" xfId="1637"/>
    <cellStyle name="_Январь_Апрель_Февраль_Июль_Июнь_Дистанц." xfId="1638"/>
    <cellStyle name="_Январь_Апрель_Февраль_Июль_Июнь_Индив." xfId="1639"/>
    <cellStyle name="_Январь_Апрель_Февраль_Июль_Июнь_КБУ" xfId="1640"/>
    <cellStyle name="_Январь_Апрель_Февраль_Июль_КБУ" xfId="1641"/>
    <cellStyle name="_Январь_Апрель_Февраль_Июль_КРН" xfId="1642"/>
    <cellStyle name="_Январь_Апрель_Февраль_Июль_ОПШ" xfId="1643"/>
    <cellStyle name="_Январь_Апрель_Февраль_Июль_СР" xfId="1644"/>
    <cellStyle name="_Январь_Апрель_Февраль_Июнь" xfId="1645"/>
    <cellStyle name="_Январь_Апрель_Февраль_Июнь_1" xfId="1646"/>
    <cellStyle name="_Январь_Апрель_Февраль_Июнь_1_Август" xfId="1647"/>
    <cellStyle name="_Январь_Апрель_Февраль_Июнь_1_Дистанц." xfId="1648"/>
    <cellStyle name="_Январь_Апрель_Февраль_Июнь_1_Индив." xfId="1649"/>
    <cellStyle name="_Январь_Апрель_Февраль_Июнь_1_КБУ" xfId="1650"/>
    <cellStyle name="_Январь_Апрель_Февраль_Июнь_Август" xfId="1651"/>
    <cellStyle name="_Январь_Апрель_Февраль_Июнь_Август_Дистанц." xfId="1652"/>
    <cellStyle name="_Январь_Апрель_Февраль_Июнь_Август_Индив." xfId="1653"/>
    <cellStyle name="_Январь_Апрель_Февраль_Июнь_БЕЛ" xfId="1654"/>
    <cellStyle name="_Январь_Апрель_Февраль_Июнь_БИНТ" xfId="1655"/>
    <cellStyle name="_Январь_Апрель_Февраль_Июнь_БИНТ_БЕЛ" xfId="1656"/>
    <cellStyle name="_Январь_Апрель_Февраль_Июнь_БИНТ_РЕЧ" xfId="1657"/>
    <cellStyle name="_Январь_Апрель_Февраль_Июнь_БУХ" xfId="1658"/>
    <cellStyle name="_Январь_Апрель_Февраль_Июнь_БУХ_БЕЛ" xfId="1659"/>
    <cellStyle name="_Январь_Апрель_Февраль_Июнь_БУХ_РЕЧ" xfId="1660"/>
    <cellStyle name="_Январь_Апрель_Февраль_Июнь_ВЕБДИЗ" xfId="1661"/>
    <cellStyle name="_Январь_Апрель_Февраль_Июнь_ВЕБМАСТ" xfId="1662"/>
    <cellStyle name="_Январь_Апрель_Февраль_Июнь_ВЕБМАСТ_БЕЛ" xfId="1663"/>
    <cellStyle name="_Январь_Апрель_Февраль_Июнь_ВЕБМАСТ_РЕЧ" xfId="1664"/>
    <cellStyle name="_Январь_Апрель_Февраль_Июнь_Дети" xfId="1665"/>
    <cellStyle name="_Январь_Апрель_Февраль_Июнь_Дистанц." xfId="1666"/>
    <cellStyle name="_Январь_Апрель_Февраль_Июнь_Индив." xfId="1667"/>
    <cellStyle name="_Январь_Апрель_Февраль_Июнь_Индив._БЕЛ" xfId="1668"/>
    <cellStyle name="_Январь_Апрель_Февраль_Июнь_Индив._РЕЧ" xfId="1669"/>
    <cellStyle name="_Январь_Апрель_Февраль_Июнь_Июнь" xfId="1670"/>
    <cellStyle name="_Январь_Апрель_Февраль_Июнь_Июнь_Август" xfId="1671"/>
    <cellStyle name="_Январь_Апрель_Февраль_Июнь_Июнь_Дистанц." xfId="1672"/>
    <cellStyle name="_Январь_Апрель_Февраль_Июнь_Июнь_Индив." xfId="1673"/>
    <cellStyle name="_Январь_Апрель_Февраль_Июнь_Июнь_КБУ" xfId="1674"/>
    <cellStyle name="_Январь_Апрель_Февраль_Июнь_КБУ" xfId="1675"/>
    <cellStyle name="_Январь_Апрель_Февраль_Июнь_КРН" xfId="1676"/>
    <cellStyle name="_Январь_Апрель_Февраль_Июнь_ОПШ" xfId="1677"/>
    <cellStyle name="_Январь_Апрель_Февраль_Июнь_СР" xfId="1678"/>
    <cellStyle name="_Январь_Апрель_Февраль_КБУ" xfId="1679"/>
    <cellStyle name="_Январь_Апрель_Февраль_КРН" xfId="1680"/>
    <cellStyle name="_Январь_Апрель_Февраль_Май" xfId="1681"/>
    <cellStyle name="_Январь_Апрель_Февраль_Май_Август" xfId="1682"/>
    <cellStyle name="_Январь_Апрель_Февраль_Май_Август_Дистанц." xfId="1683"/>
    <cellStyle name="_Январь_Апрель_Февраль_Май_Август_Индив." xfId="1684"/>
    <cellStyle name="_Январь_Апрель_Февраль_Май_БЕЛ" xfId="1685"/>
    <cellStyle name="_Январь_Апрель_Февраль_Май_БИНТ" xfId="1686"/>
    <cellStyle name="_Январь_Апрель_Февраль_Май_БИНТ_БЕЛ" xfId="1687"/>
    <cellStyle name="_Январь_Апрель_Февраль_Май_БИНТ_РЕЧ" xfId="1688"/>
    <cellStyle name="_Январь_Апрель_Февраль_Май_ВЕБДИЗ" xfId="1689"/>
    <cellStyle name="_Январь_Апрель_Февраль_Май_ВЕБМАСТ" xfId="1690"/>
    <cellStyle name="_Январь_Апрель_Февраль_Май_ВЕБМАСТ_БЕЛ" xfId="1691"/>
    <cellStyle name="_Январь_Апрель_Февраль_Май_ВЕБМАСТ_РЕЧ" xfId="1692"/>
    <cellStyle name="_Январь_Апрель_Февраль_Май_Дети" xfId="1693"/>
    <cellStyle name="_Январь_Апрель_Февраль_Май_Дистанц." xfId="1694"/>
    <cellStyle name="_Январь_Апрель_Февраль_Май_Индив." xfId="1695"/>
    <cellStyle name="_Январь_Апрель_Февраль_Май_Индив._БЕЛ" xfId="1696"/>
    <cellStyle name="_Январь_Апрель_Февраль_Май_Индив._РЕЧ" xfId="1697"/>
    <cellStyle name="_Январь_Апрель_Февраль_Май_Июнь" xfId="1698"/>
    <cellStyle name="_Январь_Апрель_Февраль_Май_Июнь_Август" xfId="1699"/>
    <cellStyle name="_Январь_Апрель_Февраль_Май_Июнь_Дистанц." xfId="1700"/>
    <cellStyle name="_Январь_Апрель_Февраль_Май_Июнь_Индив." xfId="1701"/>
    <cellStyle name="_Январь_Апрель_Февраль_Май_Июнь_КБУ" xfId="1702"/>
    <cellStyle name="_Январь_Апрель_Февраль_Май_КБУ" xfId="1703"/>
    <cellStyle name="_Январь_Апрель_Февраль_Май_КРН" xfId="1704"/>
    <cellStyle name="_Январь_Апрель_Февраль_Май_ОПШ" xfId="1705"/>
    <cellStyle name="_Январь_Апрель_Февраль_Май_СР" xfId="1706"/>
    <cellStyle name="_Январь_Апрель_Февраль_ОПШ" xfId="1707"/>
    <cellStyle name="_Январь_Апрель_Февраль_РЕЧ" xfId="1708"/>
    <cellStyle name="_Январь_Апрель_Февраль_РЕЧ_БЕЛ" xfId="1709"/>
    <cellStyle name="_Январь_Апрель_Февраль_РЕЧ_РЕЧ" xfId="1710"/>
    <cellStyle name="_Январь_Апрель_Февраль_СИ" xfId="1711"/>
    <cellStyle name="_Январь_Апрель_Февраль_СИ_БЕЛ" xfId="1712"/>
    <cellStyle name="_Январь_Апрель_Февраль_СИ_РЕЧ" xfId="1713"/>
    <cellStyle name="_Январь_Апрель_Февраль_СР" xfId="1714"/>
    <cellStyle name="_Январь_Апрель_Февраль_СУБД" xfId="1715"/>
    <cellStyle name="_Январь_Апрель_Февраль_СУБД_БЕЛ" xfId="1716"/>
    <cellStyle name="_Январь_Апрель_Февраль_СУБД_РЕЧ" xfId="1717"/>
    <cellStyle name="_Январь_Апрель_ФШ" xfId="1718"/>
    <cellStyle name="_Январь_Апрель_ФШ_БЕЛ" xfId="1719"/>
    <cellStyle name="_Январь_Апрель_ФШ_РЕЧ" xfId="1720"/>
    <cellStyle name="_Январь_Б9560" xfId="1721"/>
    <cellStyle name="_Январь_Б9560_БЕЛ" xfId="1722"/>
    <cellStyle name="_Январь_Б9560_РЕЧ" xfId="1723"/>
    <cellStyle name="_Январь_БЕЛ" xfId="1724"/>
    <cellStyle name="_Январь_БЕЛ_БЕЛ" xfId="1725"/>
    <cellStyle name="_Январь_БЕЛ_РЕЧ" xfId="1726"/>
    <cellStyle name="_Январь_БИНТ" xfId="1727"/>
    <cellStyle name="_Январь_БИНТ_БЕЛ" xfId="1728"/>
    <cellStyle name="_Январь_БИНТ_РЕЧ" xfId="1729"/>
    <cellStyle name="_Январь_БУХ" xfId="1730"/>
    <cellStyle name="_Январь_БУХ_БЕЛ" xfId="1731"/>
    <cellStyle name="_Январь_БУХ_РЕЧ" xfId="1732"/>
    <cellStyle name="_Январь_ВЕБДИЗ" xfId="1733"/>
    <cellStyle name="_Январь_ВЕБДИЗ_БЕЛ" xfId="1734"/>
    <cellStyle name="_Январь_ВЕБДИЗ_РЕЧ" xfId="1735"/>
    <cellStyle name="_Январь_ВЕБМАСТ" xfId="1736"/>
    <cellStyle name="_Январь_ВЕБМАСТ_БЕЛ" xfId="1737"/>
    <cellStyle name="_Январь_ВЕБМАСТ_РЕЧ" xfId="1738"/>
    <cellStyle name="_Январь_ВУЕ" xfId="1739"/>
    <cellStyle name="_Январь_ВУЕ_БЕЛ" xfId="1740"/>
    <cellStyle name="_Январь_ВУЕ_РЕЧ" xfId="1741"/>
    <cellStyle name="_Январь_Дети" xfId="1742"/>
    <cellStyle name="_Январь_Дети_БЕЛ" xfId="1743"/>
    <cellStyle name="_Январь_Дети_РЕЧ" xfId="1744"/>
    <cellStyle name="_Январь_Дистанц." xfId="1745"/>
    <cellStyle name="_Январь_Заявление" xfId="1746"/>
    <cellStyle name="_Январь_Заявление_БЕЛ" xfId="1747"/>
    <cellStyle name="_Январь_Заявление_РЕЧ" xfId="1748"/>
    <cellStyle name="_Январь_Индив." xfId="1749"/>
    <cellStyle name="_Январь_Индив._БЕЛ" xfId="1750"/>
    <cellStyle name="_Январь_Индив._РЕЧ" xfId="1751"/>
    <cellStyle name="_Январь_ИНТ" xfId="1752"/>
    <cellStyle name="_Январь_ИНТ_БЕЛ" xfId="1753"/>
    <cellStyle name="_Январь_ИНТ_РЕЧ" xfId="1754"/>
    <cellStyle name="_Январь_Июль" xfId="1755"/>
    <cellStyle name="_Январь_Июль_Август" xfId="1756"/>
    <cellStyle name="_Январь_Июль_Август_Дистанц." xfId="1757"/>
    <cellStyle name="_Январь_Июль_Август_Индив." xfId="1758"/>
    <cellStyle name="_Январь_Июль_БЕЛ" xfId="1759"/>
    <cellStyle name="_Январь_Июль_БИНТ" xfId="1760"/>
    <cellStyle name="_Январь_Июль_БИНТ_БЕЛ" xfId="1761"/>
    <cellStyle name="_Январь_Июль_БИНТ_РЕЧ" xfId="1762"/>
    <cellStyle name="_Январь_Июль_ВЕБДИЗ" xfId="1763"/>
    <cellStyle name="_Январь_Июль_ВЕБМАСТ" xfId="1764"/>
    <cellStyle name="_Январь_Июль_ВЕБМАСТ_БЕЛ" xfId="1765"/>
    <cellStyle name="_Январь_Июль_ВЕБМАСТ_РЕЧ" xfId="1766"/>
    <cellStyle name="_Январь_Июль_Дети" xfId="1767"/>
    <cellStyle name="_Январь_Июль_Дистанц." xfId="1768"/>
    <cellStyle name="_Январь_Июль_Индив." xfId="1769"/>
    <cellStyle name="_Январь_Июль_Индив._БЕЛ" xfId="1770"/>
    <cellStyle name="_Январь_Июль_Индив._РЕЧ" xfId="1771"/>
    <cellStyle name="_Январь_Июль_Июнь" xfId="1772"/>
    <cellStyle name="_Январь_Июль_Июнь_Август" xfId="1773"/>
    <cellStyle name="_Январь_Июль_Июнь_Дистанц." xfId="1774"/>
    <cellStyle name="_Январь_Июль_Июнь_Индив." xfId="1775"/>
    <cellStyle name="_Январь_Июль_Июнь_КБУ" xfId="1776"/>
    <cellStyle name="_Январь_Июль_КБУ" xfId="1777"/>
    <cellStyle name="_Январь_Июль_КРН" xfId="1778"/>
    <cellStyle name="_Январь_Июль_ОПШ" xfId="1779"/>
    <cellStyle name="_Январь_Июль_СР" xfId="1780"/>
    <cellStyle name="_Январь_Июнь" xfId="1781"/>
    <cellStyle name="_Январь_Июнь_1" xfId="1782"/>
    <cellStyle name="_Январь_Июнь_1_Август" xfId="1783"/>
    <cellStyle name="_Январь_Июнь_1_Дистанц." xfId="1784"/>
    <cellStyle name="_Январь_Июнь_1_Индив." xfId="1785"/>
    <cellStyle name="_Январь_Июнь_1_КБУ" xfId="1786"/>
    <cellStyle name="_Январь_Июнь_Август" xfId="1787"/>
    <cellStyle name="_Январь_Июнь_Август_Дистанц." xfId="1788"/>
    <cellStyle name="_Январь_Июнь_Август_Индив." xfId="1789"/>
    <cellStyle name="_Январь_Июнь_БЕЛ" xfId="1790"/>
    <cellStyle name="_Январь_Июнь_БИНТ" xfId="1791"/>
    <cellStyle name="_Январь_Июнь_БИНТ_БЕЛ" xfId="1792"/>
    <cellStyle name="_Январь_Июнь_БИНТ_РЕЧ" xfId="1793"/>
    <cellStyle name="_Январь_Июнь_БУХ" xfId="1794"/>
    <cellStyle name="_Январь_Июнь_БУХ_БЕЛ" xfId="1795"/>
    <cellStyle name="_Январь_Июнь_БУХ_РЕЧ" xfId="1796"/>
    <cellStyle name="_Январь_Июнь_ВЕБДИЗ" xfId="1797"/>
    <cellStyle name="_Январь_Июнь_ВЕБМАСТ" xfId="1798"/>
    <cellStyle name="_Январь_Июнь_ВЕБМАСТ_БЕЛ" xfId="1799"/>
    <cellStyle name="_Январь_Июнь_ВЕБМАСТ_РЕЧ" xfId="1800"/>
    <cellStyle name="_Январь_Июнь_Дети" xfId="1801"/>
    <cellStyle name="_Январь_Июнь_Дистанц." xfId="1802"/>
    <cellStyle name="_Январь_Июнь_Индив." xfId="1803"/>
    <cellStyle name="_Январь_Июнь_Индив._БЕЛ" xfId="1804"/>
    <cellStyle name="_Январь_Июнь_Индив._РЕЧ" xfId="1805"/>
    <cellStyle name="_Январь_Июнь_Июнь" xfId="1806"/>
    <cellStyle name="_Январь_Июнь_Июнь_Август" xfId="1807"/>
    <cellStyle name="_Январь_Июнь_Июнь_Дистанц." xfId="1808"/>
    <cellStyle name="_Январь_Июнь_Июнь_Индив." xfId="1809"/>
    <cellStyle name="_Январь_Июнь_Июнь_КБУ" xfId="1810"/>
    <cellStyle name="_Январь_Июнь_КБУ" xfId="1811"/>
    <cellStyle name="_Январь_Июнь_КРН" xfId="1812"/>
    <cellStyle name="_Январь_Июнь_ОПШ" xfId="1813"/>
    <cellStyle name="_Январь_Июнь_СР" xfId="1814"/>
    <cellStyle name="_Январь_КБУ" xfId="1815"/>
    <cellStyle name="_Январь_КБУ_БЕЛ" xfId="1816"/>
    <cellStyle name="_Январь_КБУ_РЕЧ" xfId="1817"/>
    <cellStyle name="_Январь_Консультация" xfId="1818"/>
    <cellStyle name="_Январь_Консультация_БЕЛ" xfId="1819"/>
    <cellStyle name="_Январь_Консультация_РЕЧ" xfId="1820"/>
    <cellStyle name="_Январь_КРН" xfId="1821"/>
    <cellStyle name="_Январь_КРН_БЕЛ" xfId="1822"/>
    <cellStyle name="_Январь_КРН_РЕЧ" xfId="1823"/>
    <cellStyle name="_Январь_ЛСХ" xfId="1824"/>
    <cellStyle name="_Январь_ЛСХ_БЕЛ" xfId="1825"/>
    <cellStyle name="_Январь_ЛСХ_РЕЧ" xfId="1826"/>
    <cellStyle name="_Январь_Май" xfId="1827"/>
    <cellStyle name="_Январь_Май_1" xfId="1828"/>
    <cellStyle name="_Январь_Май_1_Август" xfId="1829"/>
    <cellStyle name="_Январь_Май_1_Август_Дистанц." xfId="1830"/>
    <cellStyle name="_Январь_Май_1_Август_Индив." xfId="1831"/>
    <cellStyle name="_Январь_Май_1_БЕЛ" xfId="1832"/>
    <cellStyle name="_Январь_Май_1_БИНТ" xfId="1833"/>
    <cellStyle name="_Январь_Май_1_БИНТ_БЕЛ" xfId="1834"/>
    <cellStyle name="_Январь_Май_1_БИНТ_РЕЧ" xfId="1835"/>
    <cellStyle name="_Январь_Май_1_ВЕБДИЗ" xfId="1836"/>
    <cellStyle name="_Январь_Май_1_ВЕБМАСТ" xfId="1837"/>
    <cellStyle name="_Январь_Май_1_ВЕБМАСТ_БЕЛ" xfId="1838"/>
    <cellStyle name="_Январь_Май_1_ВЕБМАСТ_РЕЧ" xfId="1839"/>
    <cellStyle name="_Январь_Май_1_Дети" xfId="1840"/>
    <cellStyle name="_Январь_Май_1_Дистанц." xfId="1841"/>
    <cellStyle name="_Январь_Май_1_Индив." xfId="1842"/>
    <cellStyle name="_Январь_Май_1_Индив._БЕЛ" xfId="1843"/>
    <cellStyle name="_Январь_Май_1_Индив._РЕЧ" xfId="1844"/>
    <cellStyle name="_Январь_Май_1_Июнь" xfId="1845"/>
    <cellStyle name="_Январь_Май_1_Июнь_Август" xfId="1846"/>
    <cellStyle name="_Январь_Май_1_Июнь_Дистанц." xfId="1847"/>
    <cellStyle name="_Январь_Май_1_Июнь_Индив." xfId="1848"/>
    <cellStyle name="_Январь_Май_1_Июнь_КБУ" xfId="1849"/>
    <cellStyle name="_Январь_Май_1_КБУ" xfId="1850"/>
    <cellStyle name="_Январь_Май_1_КРН" xfId="1851"/>
    <cellStyle name="_Январь_Май_1_ОПШ" xfId="1852"/>
    <cellStyle name="_Январь_Май_1_СР" xfId="1853"/>
    <cellStyle name="_Январь_Май_Август" xfId="1854"/>
    <cellStyle name="_Январь_Май_Август_Дистанц." xfId="1855"/>
    <cellStyle name="_Январь_Май_Август_Индив." xfId="1856"/>
    <cellStyle name="_Январь_Май_АКАД" xfId="1857"/>
    <cellStyle name="_Январь_Май_АКАД_БЕЛ" xfId="1858"/>
    <cellStyle name="_Январь_Май_АКАД_РЕЧ" xfId="1859"/>
    <cellStyle name="_Январь_Май_Б9560" xfId="1860"/>
    <cellStyle name="_Январь_Май_Б9560_БЕЛ" xfId="1861"/>
    <cellStyle name="_Январь_Май_Б9560_РЕЧ" xfId="1862"/>
    <cellStyle name="_Январь_Май_БЕЛ" xfId="1863"/>
    <cellStyle name="_Январь_Май_БИНТ" xfId="1864"/>
    <cellStyle name="_Январь_Май_БИНТ_БЕЛ" xfId="1865"/>
    <cellStyle name="_Январь_Май_БИНТ_РЕЧ" xfId="1866"/>
    <cellStyle name="_Январь_Май_БУХ" xfId="1867"/>
    <cellStyle name="_Январь_Май_БУХ_БЕЛ" xfId="1868"/>
    <cellStyle name="_Январь_Май_БУХ_РЕЧ" xfId="1869"/>
    <cellStyle name="_Январь_Май_ВЕБДИЗ" xfId="1870"/>
    <cellStyle name="_Январь_Май_ВЕБМАСТ" xfId="1871"/>
    <cellStyle name="_Январь_Май_ВЕБМАСТ_БЕЛ" xfId="1872"/>
    <cellStyle name="_Январь_Май_ВЕБМАСТ_РЕЧ" xfId="1873"/>
    <cellStyle name="_Январь_Май_Дети" xfId="1874"/>
    <cellStyle name="_Январь_Май_Дистанц." xfId="1875"/>
    <cellStyle name="_Январь_Май_Индив." xfId="1876"/>
    <cellStyle name="_Январь_Май_Индив._БЕЛ" xfId="1877"/>
    <cellStyle name="_Январь_Май_Индив._РЕЧ" xfId="1878"/>
    <cellStyle name="_Январь_Май_Июль" xfId="1879"/>
    <cellStyle name="_Январь_Май_Июль_Август" xfId="1880"/>
    <cellStyle name="_Январь_Май_Июль_Август_Дистанц." xfId="1881"/>
    <cellStyle name="_Январь_Май_Июль_Август_Индив." xfId="1882"/>
    <cellStyle name="_Январь_Май_Июль_БЕЛ" xfId="1883"/>
    <cellStyle name="_Январь_Май_Июль_БИНТ" xfId="1884"/>
    <cellStyle name="_Январь_Май_Июль_БИНТ_БЕЛ" xfId="1885"/>
    <cellStyle name="_Январь_Май_Июль_БИНТ_РЕЧ" xfId="1886"/>
    <cellStyle name="_Январь_Май_Июль_ВЕБДИЗ" xfId="1887"/>
    <cellStyle name="_Январь_Май_Июль_ВЕБМАСТ" xfId="1888"/>
    <cellStyle name="_Январь_Май_Июль_ВЕБМАСТ_БЕЛ" xfId="1889"/>
    <cellStyle name="_Январь_Май_Июль_ВЕБМАСТ_РЕЧ" xfId="1890"/>
    <cellStyle name="_Январь_Май_Июль_Дети" xfId="1891"/>
    <cellStyle name="_Январь_Май_Июль_Дистанц." xfId="1892"/>
    <cellStyle name="_Январь_Май_Июль_Индив." xfId="1893"/>
    <cellStyle name="_Январь_Май_Июль_Индив._БЕЛ" xfId="1894"/>
    <cellStyle name="_Январь_Май_Июль_Индив._РЕЧ" xfId="1895"/>
    <cellStyle name="_Январь_Май_Июль_Июнь" xfId="1896"/>
    <cellStyle name="_Январь_Май_Июль_Июнь_Август" xfId="1897"/>
    <cellStyle name="_Январь_Май_Июль_Июнь_Дистанц." xfId="1898"/>
    <cellStyle name="_Январь_Май_Июль_Июнь_Индив." xfId="1899"/>
    <cellStyle name="_Январь_Май_Июль_Июнь_КБУ" xfId="1900"/>
    <cellStyle name="_Январь_Май_Июль_КБУ" xfId="1901"/>
    <cellStyle name="_Январь_Май_Июль_КРН" xfId="1902"/>
    <cellStyle name="_Январь_Май_Июль_ОПШ" xfId="1903"/>
    <cellStyle name="_Январь_Май_Июль_СР" xfId="1904"/>
    <cellStyle name="_Январь_Май_Июнь" xfId="1905"/>
    <cellStyle name="_Январь_Май_Июнь_1" xfId="1906"/>
    <cellStyle name="_Январь_Май_Июнь_1_Август" xfId="1907"/>
    <cellStyle name="_Январь_Май_Июнь_1_Дистанц." xfId="1908"/>
    <cellStyle name="_Январь_Май_Июнь_1_Индив." xfId="1909"/>
    <cellStyle name="_Январь_Май_Июнь_1_КБУ" xfId="1910"/>
    <cellStyle name="_Январь_Май_Июнь_Август" xfId="1911"/>
    <cellStyle name="_Январь_Май_Июнь_Август_Дистанц." xfId="1912"/>
    <cellStyle name="_Январь_Май_Июнь_Август_Индив." xfId="1913"/>
    <cellStyle name="_Январь_Май_Июнь_БЕЛ" xfId="1914"/>
    <cellStyle name="_Январь_Май_Июнь_БИНТ" xfId="1915"/>
    <cellStyle name="_Январь_Май_Июнь_БИНТ_БЕЛ" xfId="1916"/>
    <cellStyle name="_Январь_Май_Июнь_БИНТ_РЕЧ" xfId="1917"/>
    <cellStyle name="_Январь_Май_Июнь_БУХ" xfId="1918"/>
    <cellStyle name="_Январь_Май_Июнь_БУХ_БЕЛ" xfId="1919"/>
    <cellStyle name="_Январь_Май_Июнь_БУХ_РЕЧ" xfId="1920"/>
    <cellStyle name="_Январь_Май_Июнь_ВЕБДИЗ" xfId="1921"/>
    <cellStyle name="_Январь_Май_Июнь_ВЕБМАСТ" xfId="1922"/>
    <cellStyle name="_Январь_Май_Июнь_ВЕБМАСТ_БЕЛ" xfId="1923"/>
    <cellStyle name="_Январь_Май_Июнь_ВЕБМАСТ_РЕЧ" xfId="1924"/>
    <cellStyle name="_Январь_Май_Июнь_Дети" xfId="1925"/>
    <cellStyle name="_Январь_Май_Июнь_Дистанц." xfId="1926"/>
    <cellStyle name="_Январь_Май_Июнь_Индив." xfId="1927"/>
    <cellStyle name="_Январь_Май_Июнь_Индив._БЕЛ" xfId="1928"/>
    <cellStyle name="_Январь_Май_Июнь_Индив._РЕЧ" xfId="1929"/>
    <cellStyle name="_Январь_Май_Июнь_Июнь" xfId="1930"/>
    <cellStyle name="_Январь_Май_Июнь_Июнь_Август" xfId="1931"/>
    <cellStyle name="_Январь_Май_Июнь_Июнь_Дистанц." xfId="1932"/>
    <cellStyle name="_Январь_Май_Июнь_Июнь_Индив." xfId="1933"/>
    <cellStyle name="_Январь_Май_Июнь_Июнь_КБУ" xfId="1934"/>
    <cellStyle name="_Январь_Май_Июнь_КБУ" xfId="1935"/>
    <cellStyle name="_Январь_Май_Июнь_КРН" xfId="1936"/>
    <cellStyle name="_Январь_Май_Июнь_ОПШ" xfId="1937"/>
    <cellStyle name="_Январь_Май_Июнь_СР" xfId="1938"/>
    <cellStyle name="_Январь_Май_КБУ" xfId="1939"/>
    <cellStyle name="_Январь_Май_КРН" xfId="1940"/>
    <cellStyle name="_Январь_Май_Май" xfId="1941"/>
    <cellStyle name="_Январь_Май_Май_Август" xfId="1942"/>
    <cellStyle name="_Январь_Май_Май_Август_Дистанц." xfId="1943"/>
    <cellStyle name="_Январь_Май_Май_Август_Индив." xfId="1944"/>
    <cellStyle name="_Январь_Май_Май_БЕЛ" xfId="1945"/>
    <cellStyle name="_Январь_Май_Май_БИНТ" xfId="1946"/>
    <cellStyle name="_Январь_Май_Май_БИНТ_БЕЛ" xfId="1947"/>
    <cellStyle name="_Январь_Май_Май_БИНТ_РЕЧ" xfId="1948"/>
    <cellStyle name="_Январь_Май_Май_ВЕБДИЗ" xfId="1949"/>
    <cellStyle name="_Январь_Май_Май_ВЕБМАСТ" xfId="1950"/>
    <cellStyle name="_Январь_Май_Май_ВЕБМАСТ_БЕЛ" xfId="1951"/>
    <cellStyle name="_Январь_Май_Май_ВЕБМАСТ_РЕЧ" xfId="1952"/>
    <cellStyle name="_Январь_Май_Май_Дети" xfId="1953"/>
    <cellStyle name="_Январь_Май_Май_Дистанц." xfId="1954"/>
    <cellStyle name="_Январь_Май_Май_Индив." xfId="1955"/>
    <cellStyle name="_Январь_Май_Май_Индив._БЕЛ" xfId="1956"/>
    <cellStyle name="_Январь_Май_Май_Индив._РЕЧ" xfId="1957"/>
    <cellStyle name="_Январь_Май_Май_Июнь" xfId="1958"/>
    <cellStyle name="_Январь_Май_Май_Июнь_Август" xfId="1959"/>
    <cellStyle name="_Январь_Май_Май_Июнь_Дистанц." xfId="1960"/>
    <cellStyle name="_Январь_Май_Май_Июнь_Индив." xfId="1961"/>
    <cellStyle name="_Январь_Май_Май_Июнь_КБУ" xfId="1962"/>
    <cellStyle name="_Январь_Май_Май_КБУ" xfId="1963"/>
    <cellStyle name="_Январь_Май_Май_КРН" xfId="1964"/>
    <cellStyle name="_Январь_Май_Май_ОПШ" xfId="1965"/>
    <cellStyle name="_Январь_Май_Май_СР" xfId="1966"/>
    <cellStyle name="_Январь_Май_ОПШ" xfId="1967"/>
    <cellStyle name="_Январь_Май_РЕЧ" xfId="1968"/>
    <cellStyle name="_Январь_Май_РЕЧ_БЕЛ" xfId="1969"/>
    <cellStyle name="_Январь_Май_РЕЧ_РЕЧ" xfId="1970"/>
    <cellStyle name="_Январь_Май_СИ" xfId="1971"/>
    <cellStyle name="_Январь_Май_СИ_БЕЛ" xfId="1972"/>
    <cellStyle name="_Январь_Май_СИ_РЕЧ" xfId="1973"/>
    <cellStyle name="_Январь_Май_СР" xfId="1974"/>
    <cellStyle name="_Январь_Май_СУБД" xfId="1975"/>
    <cellStyle name="_Январь_Май_СУБД_БЕЛ" xfId="1976"/>
    <cellStyle name="_Январь_Май_СУБД_РЕЧ" xfId="1977"/>
    <cellStyle name="_Январь_МП" xfId="1978"/>
    <cellStyle name="_Январь_МП_БЕЛ" xfId="1979"/>
    <cellStyle name="_Январь_МП_РЕЧ" xfId="1980"/>
    <cellStyle name="_Январь_НТ" xfId="1981"/>
    <cellStyle name="_Январь_НТ_БЕЛ" xfId="1982"/>
    <cellStyle name="_Январь_НТ_РЕЧ" xfId="1983"/>
    <cellStyle name="_Январь_ОПШ" xfId="1984"/>
    <cellStyle name="_Январь_ОПШ_БЕЛ" xfId="1985"/>
    <cellStyle name="_Январь_ОПШ_РЕЧ" xfId="1986"/>
    <cellStyle name="_Январь_Офис" xfId="1987"/>
    <cellStyle name="_Январь_Офис_БЕЛ" xfId="1988"/>
    <cellStyle name="_Январь_Офис_РЕЧ" xfId="1989"/>
    <cellStyle name="_Январь_ПРШ" xfId="1990"/>
    <cellStyle name="_Январь_ПРШ_БЕЛ" xfId="1991"/>
    <cellStyle name="_Январь_ПРШ_РЕЧ" xfId="1992"/>
    <cellStyle name="_Январь_РЕЧ" xfId="1993"/>
    <cellStyle name="_Январь_РЕЧ_БЕЛ" xfId="1994"/>
    <cellStyle name="_Январь_РЕЧ_РЕЧ" xfId="1995"/>
    <cellStyle name="_Январь_СВБ" xfId="1996"/>
    <cellStyle name="_Январь_СВБ_БЕЛ" xfId="1997"/>
    <cellStyle name="_Январь_СВБ_РЕЧ" xfId="1998"/>
    <cellStyle name="_Январь_СИ" xfId="1999"/>
    <cellStyle name="_Январь_СИ_БЕЛ" xfId="2000"/>
    <cellStyle name="_Январь_СИ_РЕЧ" xfId="2001"/>
    <cellStyle name="_Январь_СИС" xfId="2002"/>
    <cellStyle name="_Январь_СИС_БЕЛ" xfId="2003"/>
    <cellStyle name="_Январь_СИС_РЕЧ" xfId="2004"/>
    <cellStyle name="_Январь_СР" xfId="2005"/>
    <cellStyle name="_Январь_СУБД" xfId="2006"/>
    <cellStyle name="_Январь_СУБД_БЕЛ" xfId="2007"/>
    <cellStyle name="_Январь_СУБД_РЕЧ" xfId="2008"/>
    <cellStyle name="_Январь_ТЕК" xfId="2009"/>
    <cellStyle name="_Январь_ТЕК_БЕЛ" xfId="2010"/>
    <cellStyle name="_Январь_ТЕК_РЕЧ" xfId="2011"/>
    <cellStyle name="_Январь_ТОР" xfId="2012"/>
    <cellStyle name="_Январь_ТОР_БЕЛ" xfId="2013"/>
    <cellStyle name="_Январь_ТОР_РЕЧ" xfId="2014"/>
    <cellStyle name="_Январь_Февраль" xfId="2015"/>
    <cellStyle name="_Январь_Февраль_1" xfId="2016"/>
    <cellStyle name="_Январь_Февраль_1_Август" xfId="2017"/>
    <cellStyle name="_Январь_Февраль_1_Август_Дистанц." xfId="2018"/>
    <cellStyle name="_Январь_Февраль_1_Август_Индив." xfId="2019"/>
    <cellStyle name="_Январь_Февраль_1_АКАД" xfId="2020"/>
    <cellStyle name="_Январь_Февраль_1_АКАД_БЕЛ" xfId="2021"/>
    <cellStyle name="_Январь_Февраль_1_АКАД_РЕЧ" xfId="2022"/>
    <cellStyle name="_Январь_Февраль_1_Б9560" xfId="2023"/>
    <cellStyle name="_Январь_Февраль_1_Б9560_БЕЛ" xfId="2024"/>
    <cellStyle name="_Январь_Февраль_1_Б9560_РЕЧ" xfId="2025"/>
    <cellStyle name="_Январь_Февраль_1_БЕЛ" xfId="2026"/>
    <cellStyle name="_Январь_Февраль_1_БИНТ" xfId="2027"/>
    <cellStyle name="_Январь_Февраль_1_БИНТ_БЕЛ" xfId="2028"/>
    <cellStyle name="_Январь_Февраль_1_БИНТ_РЕЧ" xfId="2029"/>
    <cellStyle name="_Январь_Февраль_1_БУХ" xfId="2030"/>
    <cellStyle name="_Январь_Февраль_1_БУХ_БЕЛ" xfId="2031"/>
    <cellStyle name="_Январь_Февраль_1_БУХ_РЕЧ" xfId="2032"/>
    <cellStyle name="_Январь_Февраль_1_ВЕБДИЗ" xfId="2033"/>
    <cellStyle name="_Январь_Февраль_1_ВЕБМАСТ" xfId="2034"/>
    <cellStyle name="_Январь_Февраль_1_ВЕБМАСТ_БЕЛ" xfId="2035"/>
    <cellStyle name="_Январь_Февраль_1_ВЕБМАСТ_РЕЧ" xfId="2036"/>
    <cellStyle name="_Январь_Февраль_1_Дети" xfId="2037"/>
    <cellStyle name="_Январь_Февраль_1_Дистанц." xfId="2038"/>
    <cellStyle name="_Январь_Февраль_1_Индив." xfId="2039"/>
    <cellStyle name="_Январь_Февраль_1_Индив._БЕЛ" xfId="2040"/>
    <cellStyle name="_Январь_Февраль_1_Индив._РЕЧ" xfId="2041"/>
    <cellStyle name="_Январь_Февраль_1_Июль" xfId="2042"/>
    <cellStyle name="_Январь_Февраль_1_Июль_Август" xfId="2043"/>
    <cellStyle name="_Январь_Февраль_1_Июль_Август_Дистанц." xfId="2044"/>
    <cellStyle name="_Январь_Февраль_1_Июль_Август_Индив." xfId="2045"/>
    <cellStyle name="_Январь_Февраль_1_Июль_БЕЛ" xfId="2046"/>
    <cellStyle name="_Январь_Февраль_1_Июль_БИНТ" xfId="2047"/>
    <cellStyle name="_Январь_Февраль_1_Июль_БИНТ_БЕЛ" xfId="2048"/>
    <cellStyle name="_Январь_Февраль_1_Июль_БИНТ_РЕЧ" xfId="2049"/>
    <cellStyle name="_Январь_Февраль_1_Июль_ВЕБДИЗ" xfId="2050"/>
    <cellStyle name="_Январь_Февраль_1_Июль_ВЕБМАСТ" xfId="2051"/>
    <cellStyle name="_Январь_Февраль_1_Июль_ВЕБМАСТ_БЕЛ" xfId="2052"/>
    <cellStyle name="_Январь_Февраль_1_Июль_ВЕБМАСТ_РЕЧ" xfId="2053"/>
    <cellStyle name="_Январь_Февраль_1_Июль_Дети" xfId="2054"/>
    <cellStyle name="_Январь_Февраль_1_Июль_Дистанц." xfId="2055"/>
    <cellStyle name="_Январь_Февраль_1_Июль_Индив." xfId="2056"/>
    <cellStyle name="_Январь_Февраль_1_Июль_Индив._БЕЛ" xfId="2057"/>
    <cellStyle name="_Январь_Февраль_1_Июль_Индив._РЕЧ" xfId="2058"/>
    <cellStyle name="_Январь_Февраль_1_Июль_Июнь" xfId="2059"/>
    <cellStyle name="_Январь_Февраль_1_Июль_Июнь_Август" xfId="2060"/>
    <cellStyle name="_Январь_Февраль_1_Июль_Июнь_Дистанц." xfId="2061"/>
    <cellStyle name="_Январь_Февраль_1_Июль_Июнь_Индив." xfId="2062"/>
    <cellStyle name="_Январь_Февраль_1_Июль_Июнь_КБУ" xfId="2063"/>
    <cellStyle name="_Январь_Февраль_1_Июль_КБУ" xfId="2064"/>
    <cellStyle name="_Январь_Февраль_1_Июль_КРН" xfId="2065"/>
    <cellStyle name="_Январь_Февраль_1_Июль_ОПШ" xfId="2066"/>
    <cellStyle name="_Январь_Февраль_1_Июль_СР" xfId="2067"/>
    <cellStyle name="_Январь_Февраль_1_Июнь" xfId="2068"/>
    <cellStyle name="_Январь_Февраль_1_Июнь_1" xfId="2069"/>
    <cellStyle name="_Январь_Февраль_1_Июнь_1_Август" xfId="2070"/>
    <cellStyle name="_Январь_Февраль_1_Июнь_1_Дистанц." xfId="2071"/>
    <cellStyle name="_Январь_Февраль_1_Июнь_1_Индив." xfId="2072"/>
    <cellStyle name="_Январь_Февраль_1_Июнь_1_КБУ" xfId="2073"/>
    <cellStyle name="_Январь_Февраль_1_Июнь_Август" xfId="2074"/>
    <cellStyle name="_Январь_Февраль_1_Июнь_Август_Дистанц." xfId="2075"/>
    <cellStyle name="_Январь_Февраль_1_Июнь_Август_Индив." xfId="2076"/>
    <cellStyle name="_Январь_Февраль_1_Июнь_БЕЛ" xfId="2077"/>
    <cellStyle name="_Январь_Февраль_1_Июнь_БИНТ" xfId="2078"/>
    <cellStyle name="_Январь_Февраль_1_Июнь_БИНТ_БЕЛ" xfId="2079"/>
    <cellStyle name="_Январь_Февраль_1_Июнь_БИНТ_РЕЧ" xfId="2080"/>
    <cellStyle name="_Январь_Февраль_1_Июнь_БУХ" xfId="2081"/>
    <cellStyle name="_Январь_Февраль_1_Июнь_БУХ_БЕЛ" xfId="2082"/>
    <cellStyle name="_Январь_Февраль_1_Июнь_БУХ_РЕЧ" xfId="2083"/>
    <cellStyle name="_Январь_Февраль_1_Июнь_ВЕБДИЗ" xfId="2084"/>
    <cellStyle name="_Январь_Февраль_1_Июнь_ВЕБМАСТ" xfId="2085"/>
    <cellStyle name="_Январь_Февраль_1_Июнь_ВЕБМАСТ_БЕЛ" xfId="2086"/>
    <cellStyle name="_Январь_Февраль_1_Июнь_ВЕБМАСТ_РЕЧ" xfId="2087"/>
    <cellStyle name="_Январь_Февраль_1_Июнь_Дети" xfId="2088"/>
    <cellStyle name="_Январь_Февраль_1_Июнь_Дистанц." xfId="2089"/>
    <cellStyle name="_Январь_Февраль_1_Июнь_Индив." xfId="2090"/>
    <cellStyle name="_Январь_Февраль_1_Июнь_Индив._БЕЛ" xfId="2091"/>
    <cellStyle name="_Январь_Февраль_1_Июнь_Индив._РЕЧ" xfId="2092"/>
    <cellStyle name="_Январь_Февраль_1_Июнь_Июнь" xfId="2093"/>
    <cellStyle name="_Январь_Февраль_1_Июнь_Июнь_Август" xfId="2094"/>
    <cellStyle name="_Январь_Февраль_1_Июнь_Июнь_Дистанц." xfId="2095"/>
    <cellStyle name="_Январь_Февраль_1_Июнь_Июнь_Индив." xfId="2096"/>
    <cellStyle name="_Январь_Февраль_1_Июнь_Июнь_КБУ" xfId="2097"/>
    <cellStyle name="_Январь_Февраль_1_Июнь_КБУ" xfId="2098"/>
    <cellStyle name="_Январь_Февраль_1_Июнь_КРН" xfId="2099"/>
    <cellStyle name="_Январь_Февраль_1_Июнь_ОПШ" xfId="2100"/>
    <cellStyle name="_Январь_Февраль_1_Июнь_СР" xfId="2101"/>
    <cellStyle name="_Январь_Февраль_1_КБУ" xfId="2102"/>
    <cellStyle name="_Январь_Февраль_1_КРН" xfId="2103"/>
    <cellStyle name="_Январь_Февраль_1_Май" xfId="2104"/>
    <cellStyle name="_Январь_Февраль_1_Май_Август" xfId="2105"/>
    <cellStyle name="_Январь_Февраль_1_Май_Август_Дистанц." xfId="2106"/>
    <cellStyle name="_Январь_Февраль_1_Май_Август_Индив." xfId="2107"/>
    <cellStyle name="_Январь_Февраль_1_Май_БЕЛ" xfId="2108"/>
    <cellStyle name="_Январь_Февраль_1_Май_БИНТ" xfId="2109"/>
    <cellStyle name="_Январь_Февраль_1_Май_БИНТ_БЕЛ" xfId="2110"/>
    <cellStyle name="_Январь_Февраль_1_Май_БИНТ_РЕЧ" xfId="2111"/>
    <cellStyle name="_Январь_Февраль_1_Май_ВЕБДИЗ" xfId="2112"/>
    <cellStyle name="_Январь_Февраль_1_Май_ВЕБМАСТ" xfId="2113"/>
    <cellStyle name="_Январь_Февраль_1_Май_ВЕБМАСТ_БЕЛ" xfId="2114"/>
    <cellStyle name="_Январь_Февраль_1_Май_ВЕБМАСТ_РЕЧ" xfId="2115"/>
    <cellStyle name="_Январь_Февраль_1_Май_Дети" xfId="2116"/>
    <cellStyle name="_Январь_Февраль_1_Май_Дистанц." xfId="2117"/>
    <cellStyle name="_Январь_Февраль_1_Май_Индив." xfId="2118"/>
    <cellStyle name="_Январь_Февраль_1_Май_Индив._БЕЛ" xfId="2119"/>
    <cellStyle name="_Январь_Февраль_1_Май_Индив._РЕЧ" xfId="2120"/>
    <cellStyle name="_Январь_Февраль_1_Май_Июнь" xfId="2121"/>
    <cellStyle name="_Январь_Февраль_1_Май_Июнь_Август" xfId="2122"/>
    <cellStyle name="_Январь_Февраль_1_Май_Июнь_Дистанц." xfId="2123"/>
    <cellStyle name="_Январь_Февраль_1_Май_Июнь_Индив." xfId="2124"/>
    <cellStyle name="_Январь_Февраль_1_Май_Июнь_КБУ" xfId="2125"/>
    <cellStyle name="_Январь_Февраль_1_Май_КБУ" xfId="2126"/>
    <cellStyle name="_Январь_Февраль_1_Май_КРН" xfId="2127"/>
    <cellStyle name="_Январь_Февраль_1_Май_ОПШ" xfId="2128"/>
    <cellStyle name="_Январь_Февраль_1_Май_СР" xfId="2129"/>
    <cellStyle name="_Январь_Февраль_1_ОПШ" xfId="2130"/>
    <cellStyle name="_Январь_Февраль_1_РЕЧ" xfId="2131"/>
    <cellStyle name="_Январь_Февраль_1_РЕЧ_БЕЛ" xfId="2132"/>
    <cellStyle name="_Январь_Февраль_1_РЕЧ_РЕЧ" xfId="2133"/>
    <cellStyle name="_Январь_Февраль_1_СИ" xfId="2134"/>
    <cellStyle name="_Январь_Февраль_1_СИ_БЕЛ" xfId="2135"/>
    <cellStyle name="_Январь_Февраль_1_СИ_РЕЧ" xfId="2136"/>
    <cellStyle name="_Январь_Февраль_1_СР" xfId="2137"/>
    <cellStyle name="_Январь_Февраль_1_СУБД" xfId="2138"/>
    <cellStyle name="_Январь_Февраль_1_СУБД_БЕЛ" xfId="2139"/>
    <cellStyle name="_Январь_Февраль_1_СУБД_РЕЧ" xfId="2140"/>
    <cellStyle name="_Январь_Февраль_БЕЛ" xfId="2141"/>
    <cellStyle name="_Январь_Февраль_РЕЧ" xfId="2142"/>
    <cellStyle name="_Январь_ФШ" xfId="2143"/>
    <cellStyle name="_Январь_ФШ_БЕЛ" xfId="2144"/>
    <cellStyle name="_Январь_ФШ_РЕЧ" xfId="2145"/>
    <cellStyle name="Currency0" xfId="2146"/>
    <cellStyle name="Euro" xfId="2147"/>
    <cellStyle name="Normal1" xfId="2148"/>
    <cellStyle name="Денежный [0] 2" xfId="2153"/>
    <cellStyle name="Денежный 2" xfId="2154"/>
    <cellStyle name="Обычный" xfId="0" builtinId="0"/>
    <cellStyle name="Обычный 2" xfId="2155"/>
    <cellStyle name="Процентный 2" xfId="2156"/>
    <cellStyle name="Стиль 1" xfId="2149"/>
    <cellStyle name="Стиль_названий" xfId="2152"/>
    <cellStyle name="Тысячи [0]_Лист1" xfId="2150"/>
    <cellStyle name="Тысячи_Лист1" xfId="2151"/>
  </cellStyles>
  <dxfs count="0"/>
  <tableStyles count="0" defaultTableStyle="TableStyleMedium9" defaultPivotStyle="PivotStyleLight16"/>
  <colors>
    <mruColors>
      <color rgb="FFFF00FF"/>
      <color rgb="FFFF66CC"/>
      <color rgb="FFFFCCFF"/>
      <color rgb="FF2A0264"/>
      <color rgb="FF000066"/>
      <color rgb="FFFF0000"/>
      <color rgb="FFFEF1E6"/>
      <color rgb="FFFFCCCC"/>
      <color rgb="FFFFCC99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533397</xdr:colOff>
      <xdr:row>6</xdr:row>
      <xdr:rowOff>142874</xdr:rowOff>
    </xdr:from>
    <xdr:to>
      <xdr:col>6</xdr:col>
      <xdr:colOff>95250</xdr:colOff>
      <xdr:row>13</xdr:row>
      <xdr:rowOff>38100</xdr:rowOff>
    </xdr:to>
    <xdr:sp macro="" textlink="">
      <xdr:nvSpPr>
        <xdr:cNvPr id="2" name="Загнутый угол 1"/>
        <xdr:cNvSpPr/>
      </xdr:nvSpPr>
      <xdr:spPr>
        <a:xfrm>
          <a:off x="533397" y="1171574"/>
          <a:ext cx="4514853" cy="102870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ставить в ячейку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C2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обновляемую дату, а в ячейку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C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4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- обновляемую текущую дату (дата+время)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11</xdr:row>
      <xdr:rowOff>142875</xdr:rowOff>
    </xdr:from>
    <xdr:to>
      <xdr:col>5</xdr:col>
      <xdr:colOff>161924</xdr:colOff>
      <xdr:row>20</xdr:row>
      <xdr:rowOff>142875</xdr:rowOff>
    </xdr:to>
    <xdr:sp macro="" textlink="">
      <xdr:nvSpPr>
        <xdr:cNvPr id="5" name="Загнутый угол 4"/>
        <xdr:cNvSpPr/>
      </xdr:nvSpPr>
      <xdr:spPr>
        <a:xfrm>
          <a:off x="171449" y="2133600"/>
          <a:ext cx="5038725" cy="162877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ычислить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Дату изготовления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считая, что на изготовление заказа требуется 7 календарных дней после того, как заказ был оформлен.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Дату выдачи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заказа при условии, что срок доставки заказа составляет 5 рабочих дней после изготовления, учитывая что 23 февраля (ячейка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F1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и 8 марта (ячейка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G1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 –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красные дни календаря.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 editAs="oneCell">
    <xdr:from>
      <xdr:col>4</xdr:col>
      <xdr:colOff>445476</xdr:colOff>
      <xdr:row>2</xdr:row>
      <xdr:rowOff>109904</xdr:rowOff>
    </xdr:from>
    <xdr:to>
      <xdr:col>7</xdr:col>
      <xdr:colOff>32971</xdr:colOff>
      <xdr:row>10</xdr:row>
      <xdr:rowOff>167054</xdr:rowOff>
    </xdr:to>
    <xdr:pic>
      <xdr:nvPicPr>
        <xdr:cNvPr id="3" name="Рисунок 2"/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878264" y="476250"/>
          <a:ext cx="1737947" cy="1522535"/>
        </a:xfrm>
        <a:prstGeom prst="rect">
          <a:avLst/>
        </a:prstGeom>
        <a:ln w="28575">
          <a:solidFill>
            <a:srgbClr val="FF66CC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371474</xdr:colOff>
      <xdr:row>13</xdr:row>
      <xdr:rowOff>38100</xdr:rowOff>
    </xdr:from>
    <xdr:to>
      <xdr:col>6</xdr:col>
      <xdr:colOff>476249</xdr:colOff>
      <xdr:row>21</xdr:row>
      <xdr:rowOff>85725</xdr:rowOff>
    </xdr:to>
    <xdr:sp macro="" textlink="">
      <xdr:nvSpPr>
        <xdr:cNvPr id="4" name="Загнутый угол 3"/>
        <xdr:cNvSpPr/>
      </xdr:nvSpPr>
      <xdr:spPr>
        <a:xfrm>
          <a:off x="819149" y="2390775"/>
          <a:ext cx="5153025" cy="14954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Длительность проекта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календарных днях - количество дней от Даты начала до Даты окончания включительно.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Длительность проекта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рабочих днях между Датой начала и Датой, учитывая, что 8 марта (ячейка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Н1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 - красный день календаря.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 editAs="oneCell">
    <xdr:from>
      <xdr:col>7</xdr:col>
      <xdr:colOff>313460</xdr:colOff>
      <xdr:row>2</xdr:row>
      <xdr:rowOff>153264</xdr:rowOff>
    </xdr:from>
    <xdr:to>
      <xdr:col>10</xdr:col>
      <xdr:colOff>201267</xdr:colOff>
      <xdr:row>11</xdr:row>
      <xdr:rowOff>135947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95260" y="515214"/>
          <a:ext cx="1859482" cy="1611458"/>
        </a:xfrm>
        <a:prstGeom prst="rect">
          <a:avLst/>
        </a:prstGeom>
        <a:ln w="28575">
          <a:solidFill>
            <a:srgbClr val="FF66CC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2</xdr:row>
      <xdr:rowOff>28575</xdr:rowOff>
    </xdr:from>
    <xdr:to>
      <xdr:col>14</xdr:col>
      <xdr:colOff>114300</xdr:colOff>
      <xdr:row>8</xdr:row>
      <xdr:rowOff>104775</xdr:rowOff>
    </xdr:to>
    <xdr:sp macro="" textlink="">
      <xdr:nvSpPr>
        <xdr:cNvPr id="8" name="Загнутый угол 7"/>
        <xdr:cNvSpPr/>
      </xdr:nvSpPr>
      <xdr:spPr>
        <a:xfrm>
          <a:off x="5372100" y="590550"/>
          <a:ext cx="4124325" cy="11620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Возраст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сотрудников на текущую дату. Показать ответ в полных годах.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APERS/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  <cell r="CO99" t="str">
            <v/>
          </cell>
          <cell r="CP99" t="str">
            <v/>
          </cell>
          <cell r="CQ99" t="str">
            <v/>
          </cell>
          <cell r="CR99" t="str">
            <v/>
          </cell>
          <cell r="CS99" t="str">
            <v/>
          </cell>
          <cell r="CT99" t="str">
            <v/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/>
          </cell>
          <cell r="DI99" t="str">
            <v/>
          </cell>
          <cell r="DJ99" t="str">
            <v/>
          </cell>
          <cell r="DK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 t="str">
            <v/>
          </cell>
          <cell r="DY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P99" t="str">
            <v/>
          </cell>
          <cell r="EQ99" t="str">
            <v/>
          </cell>
          <cell r="ER99" t="str">
            <v/>
          </cell>
          <cell r="ES99" t="str">
            <v/>
          </cell>
          <cell r="ET99" t="str">
            <v/>
          </cell>
          <cell r="EU99" t="str">
            <v/>
          </cell>
          <cell r="EV99" t="str">
            <v/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 t="str">
            <v/>
          </cell>
          <cell r="AZ100" t="str">
            <v/>
          </cell>
          <cell r="BA100" t="str">
            <v/>
          </cell>
          <cell r="BB100" t="str">
            <v/>
          </cell>
          <cell r="BC100" t="str">
            <v/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  <cell r="CO100" t="str">
            <v/>
          </cell>
          <cell r="CP100" t="str">
            <v/>
          </cell>
          <cell r="CQ100" t="str">
            <v/>
          </cell>
          <cell r="CR100" t="str">
            <v/>
          </cell>
          <cell r="CS100" t="str">
            <v/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 t="str">
            <v/>
          </cell>
          <cell r="DJ100" t="str">
            <v/>
          </cell>
          <cell r="DK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 t="str">
            <v/>
          </cell>
          <cell r="DY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P100" t="str">
            <v/>
          </cell>
          <cell r="EQ100" t="str">
            <v/>
          </cell>
          <cell r="ER100" t="str">
            <v/>
          </cell>
          <cell r="ES100" t="str">
            <v/>
          </cell>
          <cell r="ET100" t="str">
            <v/>
          </cell>
          <cell r="EU100" t="str">
            <v/>
          </cell>
          <cell r="EV100" t="str">
            <v/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  <cell r="CO110" t="str">
            <v/>
          </cell>
          <cell r="CP110" t="str">
            <v/>
          </cell>
          <cell r="CQ110" t="str">
            <v/>
          </cell>
          <cell r="CR110" t="str">
            <v/>
          </cell>
          <cell r="CS110" t="str">
            <v/>
          </cell>
          <cell r="CT110" t="str">
            <v/>
          </cell>
          <cell r="CU110" t="str">
            <v/>
          </cell>
          <cell r="CV110" t="str">
            <v/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/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 t="str">
            <v/>
          </cell>
          <cell r="DH110" t="str">
            <v/>
          </cell>
          <cell r="DI110" t="str">
            <v/>
          </cell>
          <cell r="DJ110" t="str">
            <v/>
          </cell>
          <cell r="DK110" t="str">
            <v/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 t="str">
            <v/>
          </cell>
          <cell r="DY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P110" t="str">
            <v/>
          </cell>
          <cell r="EQ110" t="str">
            <v/>
          </cell>
          <cell r="ER110" t="str">
            <v/>
          </cell>
          <cell r="ES110" t="str">
            <v/>
          </cell>
          <cell r="ET110" t="str">
            <v/>
          </cell>
          <cell r="EU110" t="str">
            <v/>
          </cell>
          <cell r="EV110" t="str">
            <v/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  <cell r="CO111" t="str">
            <v/>
          </cell>
          <cell r="CP111" t="str">
            <v/>
          </cell>
          <cell r="CQ111" t="str">
            <v/>
          </cell>
          <cell r="CR111" t="str">
            <v/>
          </cell>
          <cell r="CS111" t="str">
            <v/>
          </cell>
          <cell r="CT111" t="str">
            <v/>
          </cell>
          <cell r="CU111" t="str">
            <v/>
          </cell>
          <cell r="CV111" t="str">
            <v/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/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 t="str">
            <v/>
          </cell>
          <cell r="DH111" t="str">
            <v/>
          </cell>
          <cell r="DI111" t="str">
            <v/>
          </cell>
          <cell r="DJ111" t="str">
            <v/>
          </cell>
          <cell r="DK111" t="str">
            <v/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 t="str">
            <v/>
          </cell>
          <cell r="DY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P111" t="str">
            <v/>
          </cell>
          <cell r="EQ111" t="str">
            <v/>
          </cell>
          <cell r="ER111" t="str">
            <v/>
          </cell>
          <cell r="ES111" t="str">
            <v/>
          </cell>
          <cell r="ET111" t="str">
            <v/>
          </cell>
          <cell r="EU111" t="str">
            <v/>
          </cell>
          <cell r="EV111" t="str">
            <v/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 t="str">
            <v/>
          </cell>
          <cell r="BC112" t="str">
            <v/>
          </cell>
          <cell r="BD112" t="str">
            <v/>
          </cell>
          <cell r="BE112" t="str">
            <v/>
          </cell>
          <cell r="BF112" t="str">
            <v/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  <cell r="CO112" t="str">
            <v/>
          </cell>
          <cell r="CP112" t="str">
            <v/>
          </cell>
          <cell r="CQ112" t="str">
            <v/>
          </cell>
          <cell r="CR112" t="str">
            <v/>
          </cell>
          <cell r="CS112" t="str">
            <v/>
          </cell>
          <cell r="CT112" t="str">
            <v/>
          </cell>
          <cell r="CU112" t="str">
            <v/>
          </cell>
          <cell r="CV112" t="str">
            <v/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/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/>
          </cell>
          <cell r="DI112" t="str">
            <v/>
          </cell>
          <cell r="DJ112" t="str">
            <v/>
          </cell>
          <cell r="DK112" t="str">
            <v/>
          </cell>
          <cell r="DL112" t="str">
            <v/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 t="str">
            <v/>
          </cell>
          <cell r="DX112" t="str">
            <v/>
          </cell>
          <cell r="DY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D112" t="str">
            <v/>
          </cell>
          <cell r="EE112" t="str">
            <v/>
          </cell>
          <cell r="EF112" t="str">
            <v/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P112" t="str">
            <v/>
          </cell>
          <cell r="EQ112" t="str">
            <v/>
          </cell>
          <cell r="ER112" t="str">
            <v/>
          </cell>
          <cell r="ES112" t="str">
            <v/>
          </cell>
          <cell r="ET112" t="str">
            <v/>
          </cell>
          <cell r="EU112" t="str">
            <v/>
          </cell>
          <cell r="EV112" t="str">
            <v/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  <cell r="CO116" t="str">
            <v/>
          </cell>
          <cell r="CP116" t="str">
            <v/>
          </cell>
          <cell r="CQ116" t="str">
            <v/>
          </cell>
          <cell r="CR116" t="str">
            <v/>
          </cell>
          <cell r="CS116" t="str">
            <v/>
          </cell>
          <cell r="CT116" t="str">
            <v/>
          </cell>
          <cell r="CU116" t="str">
            <v/>
          </cell>
          <cell r="CV116" t="str">
            <v/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K116" t="str">
            <v/>
          </cell>
          <cell r="DL116" t="str">
            <v/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 t="str">
            <v/>
          </cell>
          <cell r="DX116" t="str">
            <v/>
          </cell>
          <cell r="DY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D116" t="str">
            <v/>
          </cell>
          <cell r="EE116" t="str">
            <v/>
          </cell>
          <cell r="EF116" t="str">
            <v/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P116" t="str">
            <v/>
          </cell>
          <cell r="EQ116" t="str">
            <v/>
          </cell>
          <cell r="ER116" t="str">
            <v/>
          </cell>
          <cell r="ES116" t="str">
            <v/>
          </cell>
          <cell r="ET116" t="str">
            <v/>
          </cell>
          <cell r="EU116" t="str">
            <v/>
          </cell>
          <cell r="EV116" t="str">
            <v/>
          </cell>
          <cell r="EW116" t="str">
            <v/>
          </cell>
          <cell r="EX116" t="str">
            <v/>
          </cell>
          <cell r="EY116" t="str">
            <v/>
          </cell>
          <cell r="EZ116" t="str">
            <v/>
          </cell>
          <cell r="FA116" t="str">
            <v/>
          </cell>
          <cell r="FB116" t="str">
            <v/>
          </cell>
          <cell r="FC116" t="str">
            <v/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 t="str">
            <v/>
          </cell>
          <cell r="FI116" t="str">
            <v/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 t="str">
            <v/>
          </cell>
          <cell r="BJ117">
            <v>75000</v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  <cell r="CO117" t="str">
            <v/>
          </cell>
          <cell r="CP117" t="str">
            <v/>
          </cell>
          <cell r="CQ117" t="str">
            <v/>
          </cell>
          <cell r="CR117" t="str">
            <v/>
          </cell>
          <cell r="CS117" t="str">
            <v/>
          </cell>
          <cell r="CT117" t="str">
            <v/>
          </cell>
          <cell r="CU117" t="str">
            <v/>
          </cell>
          <cell r="CV117" t="str">
            <v/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/>
          </cell>
          <cell r="DI117" t="str">
            <v/>
          </cell>
          <cell r="DJ117" t="str">
            <v/>
          </cell>
          <cell r="DK117" t="str">
            <v/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 t="str">
            <v/>
          </cell>
          <cell r="DY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P117" t="str">
            <v/>
          </cell>
          <cell r="EQ117" t="str">
            <v/>
          </cell>
          <cell r="ER117" t="str">
            <v/>
          </cell>
          <cell r="ES117" t="str">
            <v/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 t="str">
            <v/>
          </cell>
          <cell r="FA117" t="str">
            <v/>
          </cell>
          <cell r="FB117" t="str">
            <v/>
          </cell>
          <cell r="FC117" t="str">
            <v/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 t="str">
            <v/>
          </cell>
          <cell r="FI117" t="str">
            <v/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 t="str">
            <v/>
          </cell>
          <cell r="BJ118">
            <v>155714.29</v>
          </cell>
          <cell r="BK118">
            <v>130000</v>
          </cell>
          <cell r="BL118" t="str">
            <v/>
          </cell>
          <cell r="BM118" t="str">
            <v/>
          </cell>
          <cell r="BN118" t="str">
            <v/>
          </cell>
          <cell r="BO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/>
          </cell>
          <cell r="BT118" t="str">
            <v/>
          </cell>
          <cell r="BU118" t="str">
            <v/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 t="str">
            <v/>
          </cell>
          <cell r="CA118" t="str">
            <v/>
          </cell>
          <cell r="CB118" t="str">
            <v/>
          </cell>
          <cell r="CC118" t="str">
            <v/>
          </cell>
          <cell r="CD118" t="str">
            <v/>
          </cell>
          <cell r="CE118" t="str">
            <v/>
          </cell>
          <cell r="CF118" t="str">
            <v/>
          </cell>
          <cell r="CG118" t="str">
            <v/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  <cell r="CO118" t="str">
            <v/>
          </cell>
          <cell r="CP118" t="str">
            <v/>
          </cell>
          <cell r="CQ118" t="str">
            <v/>
          </cell>
          <cell r="CR118" t="str">
            <v/>
          </cell>
          <cell r="CS118" t="str">
            <v/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/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 t="str">
            <v/>
          </cell>
          <cell r="DJ118" t="str">
            <v/>
          </cell>
          <cell r="DK118" t="str">
            <v/>
          </cell>
          <cell r="DL118" t="str">
            <v/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 t="str">
            <v/>
          </cell>
          <cell r="DX118" t="str">
            <v/>
          </cell>
          <cell r="DY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D118" t="str">
            <v/>
          </cell>
          <cell r="EE118" t="str">
            <v/>
          </cell>
          <cell r="EF118" t="str">
            <v/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P118" t="str">
            <v/>
          </cell>
          <cell r="EQ118" t="str">
            <v/>
          </cell>
          <cell r="ER118" t="str">
            <v/>
          </cell>
          <cell r="ES118" t="str">
            <v/>
          </cell>
          <cell r="ET118" t="str">
            <v/>
          </cell>
          <cell r="EU118" t="str">
            <v/>
          </cell>
          <cell r="EV118" t="str">
            <v/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  <cell r="FB118" t="str">
            <v/>
          </cell>
          <cell r="FC118" t="str">
            <v/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 t="str">
            <v/>
          </cell>
          <cell r="FI118" t="str">
            <v/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>
            <v>1800</v>
          </cell>
          <cell r="BG119">
            <v>3600</v>
          </cell>
          <cell r="BH119">
            <v>5400</v>
          </cell>
          <cell r="BI119" t="str">
            <v/>
          </cell>
          <cell r="BJ119">
            <v>7200</v>
          </cell>
          <cell r="BK119">
            <v>7200</v>
          </cell>
          <cell r="BL119">
            <v>7200</v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  <cell r="CO119" t="str">
            <v/>
          </cell>
          <cell r="CP119" t="str">
            <v/>
          </cell>
          <cell r="CQ119" t="str">
            <v/>
          </cell>
          <cell r="CR119" t="str">
            <v/>
          </cell>
          <cell r="CS119" t="str">
            <v/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 t="str">
            <v/>
          </cell>
          <cell r="DJ119" t="str">
            <v/>
          </cell>
          <cell r="DK119" t="str">
            <v/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 t="str">
            <v/>
          </cell>
          <cell r="DY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P119" t="str">
            <v/>
          </cell>
          <cell r="EQ119" t="str">
            <v/>
          </cell>
          <cell r="ER119" t="str">
            <v/>
          </cell>
          <cell r="ES119" t="str">
            <v/>
          </cell>
          <cell r="ET119" t="str">
            <v/>
          </cell>
          <cell r="EU119" t="str">
            <v/>
          </cell>
          <cell r="EV119" t="str">
            <v/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  <cell r="FB119" t="str">
            <v/>
          </cell>
          <cell r="FC119" t="str">
            <v/>
          </cell>
          <cell r="FD119" t="str">
            <v/>
          </cell>
          <cell r="FE119" t="str">
            <v/>
          </cell>
          <cell r="FF119" t="str">
            <v/>
          </cell>
          <cell r="FG119" t="str">
            <v/>
          </cell>
          <cell r="FH119" t="str">
            <v/>
          </cell>
          <cell r="FI119" t="str">
            <v/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>
            <v>8000</v>
          </cell>
          <cell r="BH120">
            <v>10000</v>
          </cell>
          <cell r="BI120" t="str">
            <v/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 t="str">
            <v/>
          </cell>
          <cell r="DY123" t="str">
            <v/>
          </cell>
          <cell r="DZ123" t="str">
            <v/>
          </cell>
          <cell r="EA123" t="str">
            <v/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 t="str">
            <v/>
          </cell>
          <cell r="EN123" t="str">
            <v/>
          </cell>
          <cell r="EO123" t="str">
            <v/>
          </cell>
          <cell r="EP123" t="str">
            <v/>
          </cell>
          <cell r="EQ123" t="str">
            <v/>
          </cell>
          <cell r="ER123" t="str">
            <v/>
          </cell>
          <cell r="ES123" t="str">
            <v/>
          </cell>
          <cell r="ET123" t="str">
            <v/>
          </cell>
          <cell r="EU123" t="str">
            <v/>
          </cell>
          <cell r="EV123" t="str">
            <v/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 t="str">
            <v/>
          </cell>
          <cell r="DY124" t="str">
            <v/>
          </cell>
          <cell r="DZ124" t="str">
            <v/>
          </cell>
          <cell r="EA124" t="str">
            <v/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 t="str">
            <v/>
          </cell>
          <cell r="EN124" t="str">
            <v/>
          </cell>
          <cell r="EO124" t="str">
            <v/>
          </cell>
          <cell r="EP124" t="str">
            <v/>
          </cell>
          <cell r="EQ124" t="str">
            <v/>
          </cell>
          <cell r="ER124" t="str">
            <v/>
          </cell>
          <cell r="ES124" t="str">
            <v/>
          </cell>
          <cell r="ET124" t="str">
            <v/>
          </cell>
          <cell r="EU124" t="str">
            <v/>
          </cell>
          <cell r="EV124" t="str">
            <v/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BA137" t="str">
            <v/>
          </cell>
          <cell r="BB137" t="str">
            <v/>
          </cell>
          <cell r="BC137" t="str">
            <v/>
          </cell>
          <cell r="BD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  <cell r="CO142" t="str">
            <v/>
          </cell>
          <cell r="CP142" t="str">
            <v/>
          </cell>
          <cell r="CQ142" t="str">
            <v/>
          </cell>
          <cell r="CR142" t="str">
            <v/>
          </cell>
          <cell r="CS142" t="str">
            <v/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 t="str">
            <v/>
          </cell>
          <cell r="DJ142" t="str">
            <v/>
          </cell>
          <cell r="DK142" t="str">
            <v/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 t="str">
            <v/>
          </cell>
          <cell r="DY142" t="str">
            <v/>
          </cell>
          <cell r="DZ142" t="str">
            <v/>
          </cell>
          <cell r="EA142" t="str">
            <v/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 t="str">
            <v/>
          </cell>
          <cell r="EN142" t="str">
            <v/>
          </cell>
          <cell r="EO142" t="str">
            <v/>
          </cell>
          <cell r="EP142" t="str">
            <v/>
          </cell>
          <cell r="EQ142" t="str">
            <v/>
          </cell>
          <cell r="ER142" t="str">
            <v/>
          </cell>
          <cell r="ES142" t="str">
            <v/>
          </cell>
          <cell r="ET142" t="str">
            <v/>
          </cell>
          <cell r="EU142" t="str">
            <v/>
          </cell>
          <cell r="EV142" t="str">
            <v/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  <cell r="CO143" t="str">
            <v/>
          </cell>
          <cell r="CP143" t="str">
            <v/>
          </cell>
          <cell r="CQ143" t="str">
            <v/>
          </cell>
          <cell r="CR143" t="str">
            <v/>
          </cell>
          <cell r="CS143" t="str">
            <v/>
          </cell>
          <cell r="CT143" t="str">
            <v/>
          </cell>
          <cell r="CU143" t="str">
            <v/>
          </cell>
          <cell r="CV143" t="str">
            <v/>
          </cell>
          <cell r="CW143" t="str">
            <v/>
          </cell>
          <cell r="CX143" t="str">
            <v/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/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/>
          </cell>
          <cell r="DI143" t="str">
            <v/>
          </cell>
          <cell r="DJ143" t="str">
            <v/>
          </cell>
          <cell r="DK143" t="str">
            <v/>
          </cell>
          <cell r="DL143" t="str">
            <v/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 t="str">
            <v/>
          </cell>
          <cell r="DU143" t="str">
            <v/>
          </cell>
          <cell r="DV143" t="str">
            <v/>
          </cell>
          <cell r="DW143" t="str">
            <v/>
          </cell>
          <cell r="DX143" t="str">
            <v/>
          </cell>
          <cell r="DY143" t="str">
            <v/>
          </cell>
          <cell r="DZ143" t="str">
            <v/>
          </cell>
          <cell r="EA143" t="str">
            <v/>
          </cell>
          <cell r="EB143" t="str">
            <v/>
          </cell>
          <cell r="EC143" t="str">
            <v/>
          </cell>
          <cell r="ED143" t="str">
            <v/>
          </cell>
          <cell r="EE143" t="str">
            <v/>
          </cell>
          <cell r="EF143" t="str">
            <v/>
          </cell>
          <cell r="EG143" t="str">
            <v/>
          </cell>
          <cell r="EH143" t="str">
            <v/>
          </cell>
          <cell r="EI143" t="str">
            <v/>
          </cell>
          <cell r="EJ143" t="str">
            <v/>
          </cell>
          <cell r="EK143" t="str">
            <v/>
          </cell>
          <cell r="EL143" t="str">
            <v/>
          </cell>
          <cell r="EM143" t="str">
            <v/>
          </cell>
          <cell r="EN143" t="str">
            <v/>
          </cell>
          <cell r="EO143" t="str">
            <v/>
          </cell>
          <cell r="EP143" t="str">
            <v/>
          </cell>
          <cell r="EQ143" t="str">
            <v/>
          </cell>
          <cell r="ER143" t="str">
            <v/>
          </cell>
          <cell r="ES143" t="str">
            <v/>
          </cell>
          <cell r="ET143" t="str">
            <v/>
          </cell>
          <cell r="EU143" t="str">
            <v/>
          </cell>
          <cell r="EV143" t="str">
            <v/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/>
          </cell>
          <cell r="CQ144" t="str">
            <v/>
          </cell>
          <cell r="CR144" t="str">
            <v/>
          </cell>
          <cell r="CS144" t="str">
            <v/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/>
          </cell>
          <cell r="DI144" t="str">
            <v/>
          </cell>
          <cell r="DJ144" t="str">
            <v/>
          </cell>
          <cell r="DK144" t="str">
            <v/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 t="str">
            <v/>
          </cell>
          <cell r="DY144" t="str">
            <v/>
          </cell>
          <cell r="DZ144" t="str">
            <v/>
          </cell>
          <cell r="EA144" t="str">
            <v/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 t="str">
            <v/>
          </cell>
          <cell r="EN144" t="str">
            <v/>
          </cell>
          <cell r="EO144" t="str">
            <v/>
          </cell>
          <cell r="EP144" t="str">
            <v/>
          </cell>
          <cell r="EQ144" t="str">
            <v/>
          </cell>
          <cell r="ER144" t="str">
            <v/>
          </cell>
          <cell r="ES144" t="str">
            <v/>
          </cell>
          <cell r="ET144" t="str">
            <v/>
          </cell>
          <cell r="EU144" t="str">
            <v/>
          </cell>
          <cell r="EV144" t="str">
            <v/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 t="str">
            <v/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/>
          </cell>
          <cell r="CR153" t="str">
            <v/>
          </cell>
          <cell r="CS153" t="str">
            <v/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/>
          </cell>
          <cell r="DI153" t="str">
            <v/>
          </cell>
          <cell r="DJ153" t="str">
            <v/>
          </cell>
          <cell r="DK153" t="str">
            <v/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 t="str">
            <v/>
          </cell>
          <cell r="DY153" t="str">
            <v/>
          </cell>
          <cell r="DZ153" t="str">
            <v/>
          </cell>
          <cell r="EA153" t="str">
            <v/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 t="str">
            <v/>
          </cell>
          <cell r="EN153" t="str">
            <v/>
          </cell>
          <cell r="EO153" t="str">
            <v/>
          </cell>
          <cell r="EP153" t="str">
            <v/>
          </cell>
          <cell r="EQ153" t="str">
            <v/>
          </cell>
          <cell r="ER153" t="str">
            <v/>
          </cell>
          <cell r="ES153" t="str">
            <v/>
          </cell>
          <cell r="ET153" t="str">
            <v/>
          </cell>
          <cell r="EU153" t="str">
            <v/>
          </cell>
          <cell r="EV153" t="str">
            <v/>
          </cell>
        </row>
        <row r="154">
          <cell r="S154" t="str">
            <v>COST TO DATE</v>
          </cell>
          <cell r="V154" t="str">
            <v>DIRECT TO DATE</v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  <cell r="CO154" t="str">
            <v/>
          </cell>
          <cell r="CP154" t="str">
            <v/>
          </cell>
          <cell r="CQ154" t="str">
            <v/>
          </cell>
          <cell r="CR154" t="str">
            <v/>
          </cell>
          <cell r="CS154" t="str">
            <v/>
          </cell>
          <cell r="CT154" t="str">
            <v/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 t="str">
            <v/>
          </cell>
          <cell r="DJ154" t="str">
            <v/>
          </cell>
          <cell r="DK154" t="str">
            <v/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 t="str">
            <v/>
          </cell>
          <cell r="DY154" t="str">
            <v/>
          </cell>
          <cell r="DZ154" t="str">
            <v/>
          </cell>
          <cell r="EA154" t="str">
            <v/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 t="str">
            <v/>
          </cell>
          <cell r="EN154" t="str">
            <v/>
          </cell>
          <cell r="EO154" t="str">
            <v/>
          </cell>
          <cell r="EP154" t="str">
            <v/>
          </cell>
          <cell r="EQ154" t="str">
            <v/>
          </cell>
          <cell r="ER154" t="str">
            <v/>
          </cell>
          <cell r="ES154" t="str">
            <v/>
          </cell>
          <cell r="ET154" t="str">
            <v/>
          </cell>
          <cell r="EU154" t="str">
            <v/>
          </cell>
          <cell r="EV154" t="str">
            <v/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BD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/>
          </cell>
          <cell r="CR170" t="str">
            <v/>
          </cell>
          <cell r="CS170" t="str">
            <v/>
          </cell>
          <cell r="CT170" t="str">
            <v/>
          </cell>
          <cell r="CU170" t="str">
            <v/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/>
          </cell>
          <cell r="DI170" t="str">
            <v/>
          </cell>
          <cell r="DJ170" t="str">
            <v/>
          </cell>
          <cell r="DK170" t="str">
            <v/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 t="str">
            <v/>
          </cell>
          <cell r="DY170" t="str">
            <v/>
          </cell>
          <cell r="DZ170" t="str">
            <v/>
          </cell>
          <cell r="EA170" t="str">
            <v/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 t="str">
            <v/>
          </cell>
          <cell r="EN170" t="str">
            <v/>
          </cell>
          <cell r="EO170" t="str">
            <v/>
          </cell>
          <cell r="EP170" t="str">
            <v/>
          </cell>
          <cell r="EQ170" t="str">
            <v/>
          </cell>
          <cell r="ER170" t="str">
            <v/>
          </cell>
          <cell r="ES170" t="str">
            <v/>
          </cell>
          <cell r="ET170" t="str">
            <v/>
          </cell>
          <cell r="EU170" t="str">
            <v/>
          </cell>
          <cell r="EV170" t="str">
            <v/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/>
          </cell>
          <cell r="CR171" t="str">
            <v/>
          </cell>
          <cell r="CS171" t="str">
            <v/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 t="str">
            <v/>
          </cell>
          <cell r="DJ171" t="str">
            <v/>
          </cell>
          <cell r="DK171" t="str">
            <v/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 t="str">
            <v/>
          </cell>
          <cell r="DY171" t="str">
            <v/>
          </cell>
          <cell r="DZ171" t="str">
            <v/>
          </cell>
          <cell r="EA171" t="str">
            <v/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 t="str">
            <v/>
          </cell>
          <cell r="EN171" t="str">
            <v/>
          </cell>
          <cell r="EO171" t="str">
            <v/>
          </cell>
          <cell r="EP171" t="str">
            <v/>
          </cell>
          <cell r="EQ171" t="str">
            <v/>
          </cell>
          <cell r="ER171" t="str">
            <v/>
          </cell>
          <cell r="ES171" t="str">
            <v/>
          </cell>
          <cell r="ET171" t="str">
            <v/>
          </cell>
          <cell r="EU171" t="str">
            <v/>
          </cell>
          <cell r="EV171" t="str">
            <v/>
          </cell>
          <cell r="EW171" t="str">
            <v/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/>
          </cell>
          <cell r="CC172" t="str">
            <v/>
          </cell>
          <cell r="CD172" t="str">
            <v/>
          </cell>
          <cell r="CE172" t="str">
            <v/>
          </cell>
          <cell r="CF172" t="str">
            <v/>
          </cell>
          <cell r="CG172" t="str">
            <v/>
          </cell>
          <cell r="CH172" t="str">
            <v/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  <cell r="CO172" t="str">
            <v/>
          </cell>
          <cell r="CP172" t="str">
            <v/>
          </cell>
          <cell r="CQ172" t="str">
            <v/>
          </cell>
          <cell r="CR172" t="str">
            <v/>
          </cell>
          <cell r="CS172" t="str">
            <v/>
          </cell>
          <cell r="CT172" t="str">
            <v/>
          </cell>
          <cell r="CU172" t="str">
            <v/>
          </cell>
          <cell r="CV172" t="str">
            <v/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/>
          </cell>
          <cell r="DE172" t="str">
            <v/>
          </cell>
          <cell r="DF172" t="str">
            <v/>
          </cell>
          <cell r="DG172" t="str">
            <v/>
          </cell>
          <cell r="DH172" t="str">
            <v/>
          </cell>
          <cell r="DI172" t="str">
            <v/>
          </cell>
          <cell r="DJ172" t="str">
            <v/>
          </cell>
          <cell r="DK172" t="str">
            <v/>
          </cell>
          <cell r="DL172" t="str">
            <v/>
          </cell>
          <cell r="DM172" t="str">
            <v/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 t="str">
            <v/>
          </cell>
          <cell r="DV172" t="str">
            <v/>
          </cell>
          <cell r="DW172" t="str">
            <v/>
          </cell>
          <cell r="DX172" t="str">
            <v/>
          </cell>
          <cell r="DY172" t="str">
            <v/>
          </cell>
          <cell r="DZ172" t="str">
            <v/>
          </cell>
          <cell r="EA172" t="str">
            <v/>
          </cell>
          <cell r="EB172" t="str">
            <v/>
          </cell>
          <cell r="EC172" t="str">
            <v/>
          </cell>
          <cell r="ED172" t="str">
            <v/>
          </cell>
          <cell r="EE172" t="str">
            <v/>
          </cell>
          <cell r="EF172" t="str">
            <v/>
          </cell>
          <cell r="EG172" t="str">
            <v/>
          </cell>
          <cell r="EH172" t="str">
            <v/>
          </cell>
          <cell r="EI172" t="str">
            <v/>
          </cell>
          <cell r="EJ172" t="str">
            <v/>
          </cell>
          <cell r="EK172" t="str">
            <v/>
          </cell>
          <cell r="EL172" t="str">
            <v/>
          </cell>
          <cell r="EM172" t="str">
            <v/>
          </cell>
          <cell r="EN172" t="str">
            <v/>
          </cell>
          <cell r="EO172" t="str">
            <v/>
          </cell>
          <cell r="EP172" t="str">
            <v/>
          </cell>
          <cell r="EQ172" t="str">
            <v/>
          </cell>
          <cell r="ER172" t="str">
            <v/>
          </cell>
          <cell r="ES172" t="str">
            <v/>
          </cell>
          <cell r="ET172" t="str">
            <v/>
          </cell>
          <cell r="EU172" t="str">
            <v/>
          </cell>
          <cell r="EV172" t="str">
            <v/>
          </cell>
          <cell r="EW172" t="str">
            <v/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  <cell r="CO182" t="str">
            <v/>
          </cell>
          <cell r="CP182" t="str">
            <v/>
          </cell>
          <cell r="CQ182" t="str">
            <v/>
          </cell>
          <cell r="CR182" t="str">
            <v/>
          </cell>
          <cell r="CS182" t="str">
            <v/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/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 t="str">
            <v/>
          </cell>
          <cell r="DJ182" t="str">
            <v/>
          </cell>
          <cell r="DK182" t="str">
            <v/>
          </cell>
          <cell r="DL182" t="str">
            <v/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  <cell r="EU182" t="str">
            <v/>
          </cell>
          <cell r="EV182" t="str">
            <v/>
          </cell>
          <cell r="EW182" t="str">
            <v/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/>
          </cell>
          <cell r="CQ183" t="str">
            <v/>
          </cell>
          <cell r="CR183" t="str">
            <v/>
          </cell>
          <cell r="CS183" t="str">
            <v/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 t="str">
            <v/>
          </cell>
          <cell r="DJ183" t="str">
            <v/>
          </cell>
          <cell r="DK183" t="str">
            <v/>
          </cell>
          <cell r="DL183" t="str">
            <v/>
          </cell>
          <cell r="DM183" t="str">
            <v/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G183" t="str">
            <v/>
          </cell>
          <cell r="EH183" t="str">
            <v/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  <cell r="EU183" t="str">
            <v/>
          </cell>
          <cell r="EV183" t="str">
            <v/>
          </cell>
          <cell r="EW183" t="str">
            <v/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/>
          </cell>
          <cell r="CC184" t="str">
            <v/>
          </cell>
          <cell r="CD184" t="str">
            <v/>
          </cell>
          <cell r="CE184" t="str">
            <v/>
          </cell>
          <cell r="CF184" t="str">
            <v/>
          </cell>
          <cell r="CG184" t="str">
            <v/>
          </cell>
          <cell r="CH184" t="str">
            <v/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  <cell r="CO184" t="str">
            <v/>
          </cell>
          <cell r="CP184" t="str">
            <v/>
          </cell>
          <cell r="CQ184" t="str">
            <v/>
          </cell>
          <cell r="CR184" t="str">
            <v/>
          </cell>
          <cell r="CS184" t="str">
            <v/>
          </cell>
          <cell r="CT184" t="str">
            <v/>
          </cell>
          <cell r="CU184" t="str">
            <v/>
          </cell>
          <cell r="CV184" t="str">
            <v/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/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/>
          </cell>
          <cell r="DI184" t="str">
            <v/>
          </cell>
          <cell r="DJ184" t="str">
            <v/>
          </cell>
          <cell r="DK184" t="str">
            <v/>
          </cell>
          <cell r="DL184" t="str">
            <v/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  <cell r="EU184" t="str">
            <v/>
          </cell>
          <cell r="EV184" t="str">
            <v/>
          </cell>
          <cell r="EW184" t="str">
            <v/>
          </cell>
        </row>
        <row r="186">
          <cell r="T186" t="str">
            <v>BUDGET FORECAST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  <cell r="CO186" t="str">
            <v/>
          </cell>
          <cell r="CP186" t="str">
            <v/>
          </cell>
          <cell r="CQ186" t="str">
            <v/>
          </cell>
          <cell r="CR186" t="str">
            <v/>
          </cell>
          <cell r="CS186" t="str">
            <v/>
          </cell>
          <cell r="CT186" t="str">
            <v/>
          </cell>
          <cell r="CU186" t="str">
            <v/>
          </cell>
          <cell r="CV186" t="str">
            <v/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  <cell r="DG186" t="str">
            <v/>
          </cell>
          <cell r="DH186" t="str">
            <v/>
          </cell>
          <cell r="DI186" t="str">
            <v/>
          </cell>
          <cell r="DJ186" t="str">
            <v/>
          </cell>
          <cell r="DK186" t="str">
            <v/>
          </cell>
          <cell r="DL186" t="str">
            <v/>
          </cell>
          <cell r="DM186" t="str">
            <v/>
          </cell>
          <cell r="DN186" t="str">
            <v/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G186" t="str">
            <v/>
          </cell>
          <cell r="EH186" t="str">
            <v/>
          </cell>
          <cell r="EI186" t="str">
            <v/>
          </cell>
          <cell r="EJ186" t="str">
            <v/>
          </cell>
          <cell r="EK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  <cell r="EU186" t="str">
            <v/>
          </cell>
          <cell r="EV186" t="str">
            <v/>
          </cell>
          <cell r="EW186" t="str">
            <v/>
          </cell>
          <cell r="EX186" t="str">
            <v/>
          </cell>
          <cell r="EY186" t="str">
            <v/>
          </cell>
          <cell r="EZ186" t="str">
            <v/>
          </cell>
          <cell r="FA186" t="str">
            <v/>
          </cell>
          <cell r="FB186" t="str">
            <v/>
          </cell>
          <cell r="FC186" t="str">
            <v/>
          </cell>
          <cell r="FD186" t="str">
            <v/>
          </cell>
          <cell r="FE186" t="str">
            <v/>
          </cell>
          <cell r="FF186" t="str">
            <v/>
          </cell>
          <cell r="FG186" t="str">
            <v/>
          </cell>
          <cell r="FH186" t="str">
            <v/>
          </cell>
          <cell r="FI186" t="str">
            <v/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  <cell r="CO187" t="str">
            <v/>
          </cell>
          <cell r="CP187" t="str">
            <v/>
          </cell>
          <cell r="CQ187" t="str">
            <v/>
          </cell>
          <cell r="CR187" t="str">
            <v/>
          </cell>
          <cell r="CS187" t="str">
            <v/>
          </cell>
          <cell r="CT187" t="str">
            <v/>
          </cell>
          <cell r="CU187" t="str">
            <v/>
          </cell>
          <cell r="CV187" t="str">
            <v/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/>
          </cell>
          <cell r="DI187" t="str">
            <v/>
          </cell>
          <cell r="DJ187" t="str">
            <v/>
          </cell>
          <cell r="DK187" t="str">
            <v/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  <cell r="EU187" t="str">
            <v/>
          </cell>
          <cell r="EV187" t="str">
            <v/>
          </cell>
          <cell r="EW187" t="str">
            <v/>
          </cell>
          <cell r="EX187" t="str">
            <v/>
          </cell>
          <cell r="EY187" t="str">
            <v/>
          </cell>
          <cell r="EZ187" t="str">
            <v/>
          </cell>
          <cell r="FA187" t="str">
            <v/>
          </cell>
          <cell r="FB187" t="str">
            <v/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 t="str">
            <v/>
          </cell>
          <cell r="FI187" t="str">
            <v/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  <cell r="CO188" t="str">
            <v/>
          </cell>
          <cell r="CP188" t="str">
            <v/>
          </cell>
          <cell r="CQ188" t="str">
            <v/>
          </cell>
          <cell r="CR188" t="str">
            <v/>
          </cell>
          <cell r="CS188" t="str">
            <v/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 t="str">
            <v/>
          </cell>
          <cell r="DJ188" t="str">
            <v/>
          </cell>
          <cell r="DK188" t="str">
            <v/>
          </cell>
          <cell r="DL188" t="str">
            <v/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  <cell r="EU188" t="str">
            <v/>
          </cell>
          <cell r="EV188" t="str">
            <v/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  <cell r="FB188" t="str">
            <v/>
          </cell>
          <cell r="FC188" t="str">
            <v/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 t="str">
            <v/>
          </cell>
          <cell r="FI188" t="str">
            <v/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/>
          </cell>
          <cell r="CR189" t="str">
            <v/>
          </cell>
          <cell r="CS189" t="str">
            <v/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 t="str">
            <v/>
          </cell>
          <cell r="DJ189" t="str">
            <v/>
          </cell>
          <cell r="DK189" t="str">
            <v/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  <cell r="EU189" t="str">
            <v/>
          </cell>
          <cell r="EV189" t="str">
            <v/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  <cell r="FB189" t="str">
            <v/>
          </cell>
          <cell r="FC189" t="str">
            <v/>
          </cell>
          <cell r="FD189" t="str">
            <v/>
          </cell>
          <cell r="FE189" t="str">
            <v/>
          </cell>
          <cell r="FF189" t="str">
            <v/>
          </cell>
          <cell r="FG189" t="str">
            <v/>
          </cell>
          <cell r="FH189" t="str">
            <v/>
          </cell>
          <cell r="FI189" t="str">
            <v/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 t="str">
            <v/>
          </cell>
          <cell r="BC190" t="str">
            <v/>
          </cell>
          <cell r="BD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  <cell r="CO190" t="str">
            <v/>
          </cell>
          <cell r="CP190" t="str">
            <v/>
          </cell>
          <cell r="CQ190" t="str">
            <v/>
          </cell>
          <cell r="CR190" t="str">
            <v/>
          </cell>
          <cell r="CS190" t="str">
            <v/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/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 t="str">
            <v/>
          </cell>
          <cell r="DJ190" t="str">
            <v/>
          </cell>
          <cell r="DK190" t="str">
            <v/>
          </cell>
          <cell r="DL190" t="str">
            <v/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  <cell r="EU190" t="str">
            <v/>
          </cell>
          <cell r="EV190" t="str">
            <v/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  <cell r="FB190" t="str">
            <v/>
          </cell>
          <cell r="FC190" t="str">
            <v/>
          </cell>
          <cell r="FD190" t="str">
            <v/>
          </cell>
          <cell r="FE190" t="str">
            <v/>
          </cell>
          <cell r="FF190" t="str">
            <v/>
          </cell>
          <cell r="FG190" t="str">
            <v/>
          </cell>
          <cell r="FH190" t="str">
            <v/>
          </cell>
          <cell r="FI190" t="str">
            <v/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/>
          </cell>
          <cell r="CQ191" t="str">
            <v/>
          </cell>
          <cell r="CR191" t="str">
            <v/>
          </cell>
          <cell r="CS191" t="str">
            <v/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/>
          </cell>
          <cell r="DI191" t="str">
            <v/>
          </cell>
          <cell r="DJ191" t="str">
            <v/>
          </cell>
          <cell r="DK191" t="str">
            <v/>
          </cell>
          <cell r="DL191" t="str">
            <v/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G191" t="str">
            <v/>
          </cell>
          <cell r="EH191" t="str">
            <v/>
          </cell>
          <cell r="EI191" t="str">
            <v/>
          </cell>
          <cell r="EJ191" t="str">
            <v/>
          </cell>
          <cell r="EK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  <cell r="EU191" t="str">
            <v/>
          </cell>
          <cell r="EV191" t="str">
            <v/>
          </cell>
          <cell r="EW191" t="str">
            <v/>
          </cell>
          <cell r="EX191" t="str">
            <v/>
          </cell>
          <cell r="EY191" t="str">
            <v/>
          </cell>
          <cell r="EZ191" t="str">
            <v/>
          </cell>
          <cell r="FA191" t="str">
            <v/>
          </cell>
          <cell r="FB191" t="str">
            <v/>
          </cell>
          <cell r="FC191" t="str">
            <v/>
          </cell>
          <cell r="FD191" t="str">
            <v/>
          </cell>
          <cell r="FE191" t="str">
            <v/>
          </cell>
          <cell r="FF191" t="str">
            <v/>
          </cell>
          <cell r="FG191" t="str">
            <v/>
          </cell>
          <cell r="FH191" t="str">
            <v/>
          </cell>
          <cell r="FI191" t="str">
            <v/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 t="str">
            <v/>
          </cell>
          <cell r="BC192" t="str">
            <v/>
          </cell>
          <cell r="BD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  <cell r="CO192" t="str">
            <v/>
          </cell>
          <cell r="CP192" t="str">
            <v/>
          </cell>
          <cell r="CQ192" t="str">
            <v/>
          </cell>
          <cell r="CR192" t="str">
            <v/>
          </cell>
          <cell r="CS192" t="str">
            <v/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 t="str">
            <v/>
          </cell>
          <cell r="DJ192" t="str">
            <v/>
          </cell>
          <cell r="DK192" t="str">
            <v/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  <cell r="EU192" t="str">
            <v/>
          </cell>
          <cell r="EV192" t="str">
            <v/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  <cell r="FB192" t="str">
            <v/>
          </cell>
          <cell r="FC192" t="str">
            <v/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 t="str">
            <v/>
          </cell>
          <cell r="FI192" t="str">
            <v/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J196" t="str">
            <v/>
          </cell>
          <cell r="BK196" t="str">
            <v/>
          </cell>
          <cell r="BT196">
            <v>35870</v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/>
          </cell>
          <cell r="CR196" t="str">
            <v/>
          </cell>
          <cell r="CS196" t="str">
            <v/>
          </cell>
          <cell r="CT196" t="str">
            <v/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/>
          </cell>
          <cell r="DI196" t="str">
            <v/>
          </cell>
          <cell r="DJ196" t="str">
            <v/>
          </cell>
          <cell r="DK196" t="str">
            <v/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  <cell r="EU196" t="str">
            <v/>
          </cell>
          <cell r="EV196" t="str">
            <v/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/>
          </cell>
          <cell r="AQ197" t="str">
            <v/>
          </cell>
          <cell r="AR197" t="str">
            <v/>
          </cell>
          <cell r="AS197" t="str">
            <v/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  <cell r="BB197" t="str">
            <v/>
          </cell>
          <cell r="BC197" t="str">
            <v/>
          </cell>
          <cell r="BD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J197" t="str">
            <v/>
          </cell>
          <cell r="BK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  <cell r="CO197" t="str">
            <v/>
          </cell>
          <cell r="CP197" t="str">
            <v/>
          </cell>
          <cell r="CQ197" t="str">
            <v/>
          </cell>
          <cell r="CR197" t="str">
            <v/>
          </cell>
          <cell r="CS197" t="str">
            <v/>
          </cell>
          <cell r="CT197" t="str">
            <v/>
          </cell>
          <cell r="CU197" t="str">
            <v/>
          </cell>
          <cell r="CV197" t="str">
            <v/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/>
          </cell>
          <cell r="DI197" t="str">
            <v/>
          </cell>
          <cell r="DJ197" t="str">
            <v/>
          </cell>
          <cell r="DK197" t="str">
            <v/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  <cell r="EU197" t="str">
            <v/>
          </cell>
          <cell r="EV197" t="str">
            <v/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/>
          </cell>
          <cell r="AY211" t="str">
            <v/>
          </cell>
          <cell r="AZ211" t="str">
            <v/>
          </cell>
          <cell r="BA211" t="str">
            <v/>
          </cell>
          <cell r="BB211" t="str">
            <v/>
          </cell>
          <cell r="BC211" t="str">
            <v/>
          </cell>
          <cell r="BD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  <cell r="CO211" t="str">
            <v/>
          </cell>
          <cell r="CP211" t="str">
            <v/>
          </cell>
          <cell r="CQ211" t="str">
            <v/>
          </cell>
          <cell r="CR211" t="str">
            <v/>
          </cell>
          <cell r="CS211" t="str">
            <v/>
          </cell>
          <cell r="CT211" t="str">
            <v/>
          </cell>
          <cell r="CU211" t="str">
            <v/>
          </cell>
          <cell r="CV211" t="str">
            <v/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/>
          </cell>
          <cell r="DI211" t="str">
            <v/>
          </cell>
          <cell r="DJ211" t="str">
            <v/>
          </cell>
          <cell r="DK211" t="str">
            <v/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  <cell r="EU211" t="str">
            <v/>
          </cell>
          <cell r="EV211" t="str">
            <v/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/>
          </cell>
          <cell r="CQ212" t="str">
            <v/>
          </cell>
          <cell r="CR212" t="str">
            <v/>
          </cell>
          <cell r="CS212" t="str">
            <v/>
          </cell>
          <cell r="CT212" t="str">
            <v/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/>
          </cell>
          <cell r="DI212" t="str">
            <v/>
          </cell>
          <cell r="DJ212" t="str">
            <v/>
          </cell>
          <cell r="DK212" t="str">
            <v/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  <cell r="EU212" t="str">
            <v/>
          </cell>
          <cell r="EV212" t="str">
            <v/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  <cell r="CO213" t="str">
            <v/>
          </cell>
          <cell r="CP213" t="str">
            <v/>
          </cell>
          <cell r="CQ213" t="str">
            <v/>
          </cell>
          <cell r="CR213" t="str">
            <v/>
          </cell>
          <cell r="CS213" t="str">
            <v/>
          </cell>
          <cell r="CT213" t="str">
            <v/>
          </cell>
          <cell r="CU213" t="str">
            <v/>
          </cell>
          <cell r="CV213" t="str">
            <v/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/>
          </cell>
          <cell r="DI213" t="str">
            <v/>
          </cell>
          <cell r="DJ213" t="str">
            <v/>
          </cell>
          <cell r="DK213" t="str">
            <v/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  <cell r="EU213" t="str">
            <v/>
          </cell>
          <cell r="EV213" t="str">
            <v/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/>
          </cell>
          <cell r="AQ214" t="str">
            <v/>
          </cell>
          <cell r="AR214" t="str">
            <v/>
          </cell>
          <cell r="AS214" t="str">
            <v/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/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 t="str">
            <v/>
          </cell>
          <cell r="CN214" t="str">
            <v/>
          </cell>
          <cell r="CO214" t="str">
            <v/>
          </cell>
          <cell r="CP214" t="str">
            <v/>
          </cell>
          <cell r="CQ214" t="str">
            <v/>
          </cell>
          <cell r="CR214" t="str">
            <v/>
          </cell>
          <cell r="CS214" t="str">
            <v/>
          </cell>
          <cell r="CT214" t="str">
            <v/>
          </cell>
          <cell r="CU214" t="str">
            <v/>
          </cell>
          <cell r="CV214" t="str">
            <v/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/>
          </cell>
          <cell r="DI214" t="str">
            <v/>
          </cell>
          <cell r="DJ214" t="str">
            <v/>
          </cell>
          <cell r="DK214" t="str">
            <v/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  <cell r="EU214" t="str">
            <v/>
          </cell>
          <cell r="EV214" t="str">
            <v/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 t="str">
            <v/>
          </cell>
          <cell r="CP215" t="str">
            <v/>
          </cell>
          <cell r="CQ215" t="str">
            <v/>
          </cell>
          <cell r="CR215" t="str">
            <v/>
          </cell>
          <cell r="CS215" t="str">
            <v/>
          </cell>
          <cell r="CT215" t="str">
            <v/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/>
          </cell>
          <cell r="DI215" t="str">
            <v/>
          </cell>
          <cell r="DJ215" t="str">
            <v/>
          </cell>
          <cell r="DK215" t="str">
            <v/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  <cell r="EU215" t="str">
            <v/>
          </cell>
          <cell r="EV215" t="str">
            <v/>
          </cell>
        </row>
        <row r="217">
          <cell r="T217" t="str">
            <v>BUDGET FORECAST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/>
          </cell>
          <cell r="CQ217" t="str">
            <v/>
          </cell>
          <cell r="CR217" t="str">
            <v/>
          </cell>
          <cell r="CS217" t="str">
            <v/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 t="str">
            <v/>
          </cell>
          <cell r="DJ217" t="str">
            <v/>
          </cell>
          <cell r="DK217" t="str">
            <v/>
          </cell>
          <cell r="DL217" t="str">
            <v/>
          </cell>
          <cell r="DM217" t="str">
            <v/>
          </cell>
          <cell r="DN217" t="str">
            <v/>
          </cell>
          <cell r="DO217" t="str">
            <v/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G217" t="str">
            <v/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  <cell r="EU217" t="str">
            <v/>
          </cell>
          <cell r="EV217" t="str">
            <v/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  <cell r="FB217" t="str">
            <v/>
          </cell>
          <cell r="FC217" t="str">
            <v/>
          </cell>
          <cell r="FD217" t="str">
            <v/>
          </cell>
          <cell r="FE217" t="str">
            <v/>
          </cell>
          <cell r="FF217" t="str">
            <v/>
          </cell>
          <cell r="FG217" t="str">
            <v/>
          </cell>
          <cell r="FH217" t="str">
            <v/>
          </cell>
          <cell r="FI217" t="str">
            <v/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  <cell r="BD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  <cell r="CO218" t="str">
            <v/>
          </cell>
          <cell r="CP218" t="str">
            <v/>
          </cell>
          <cell r="CQ218" t="str">
            <v/>
          </cell>
          <cell r="CR218" t="str">
            <v/>
          </cell>
          <cell r="CS218" t="str">
            <v/>
          </cell>
          <cell r="CT218" t="str">
            <v/>
          </cell>
          <cell r="CU218" t="str">
            <v/>
          </cell>
          <cell r="CV218" t="str">
            <v/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/>
          </cell>
          <cell r="DI218" t="str">
            <v/>
          </cell>
          <cell r="DJ218" t="str">
            <v/>
          </cell>
          <cell r="DK218" t="str">
            <v/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/>
          </cell>
          <cell r="EK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  <cell r="EU218" t="str">
            <v/>
          </cell>
          <cell r="EV218" t="str">
            <v/>
          </cell>
          <cell r="EW218" t="str">
            <v/>
          </cell>
          <cell r="EX218" t="str">
            <v/>
          </cell>
          <cell r="EY218" t="str">
            <v/>
          </cell>
          <cell r="EZ218" t="str">
            <v/>
          </cell>
          <cell r="FA218" t="str">
            <v/>
          </cell>
          <cell r="FB218" t="str">
            <v/>
          </cell>
          <cell r="FC218" t="str">
            <v/>
          </cell>
          <cell r="FD218" t="str">
            <v/>
          </cell>
          <cell r="FE218" t="str">
            <v/>
          </cell>
          <cell r="FF218" t="str">
            <v/>
          </cell>
          <cell r="FG218" t="str">
            <v/>
          </cell>
          <cell r="FH218" t="str">
            <v/>
          </cell>
          <cell r="FI218" t="str">
            <v/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  <cell r="CO219" t="str">
            <v/>
          </cell>
          <cell r="CP219" t="str">
            <v/>
          </cell>
          <cell r="CQ219" t="str">
            <v/>
          </cell>
          <cell r="CR219" t="str">
            <v/>
          </cell>
          <cell r="CS219" t="str">
            <v/>
          </cell>
          <cell r="CT219" t="str">
            <v/>
          </cell>
          <cell r="CU219" t="str">
            <v/>
          </cell>
          <cell r="CV219" t="str">
            <v/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/>
          </cell>
          <cell r="DI219" t="str">
            <v/>
          </cell>
          <cell r="DJ219" t="str">
            <v/>
          </cell>
          <cell r="DK219" t="str">
            <v/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  <cell r="EU219" t="str">
            <v/>
          </cell>
          <cell r="EV219" t="str">
            <v/>
          </cell>
          <cell r="EW219" t="str">
            <v/>
          </cell>
          <cell r="EX219" t="str">
            <v/>
          </cell>
          <cell r="EY219" t="str">
            <v/>
          </cell>
          <cell r="EZ219" t="str">
            <v/>
          </cell>
          <cell r="FA219" t="str">
            <v/>
          </cell>
          <cell r="FB219" t="str">
            <v/>
          </cell>
          <cell r="FC219" t="str">
            <v/>
          </cell>
          <cell r="FD219" t="str">
            <v/>
          </cell>
          <cell r="FE219" t="str">
            <v/>
          </cell>
          <cell r="FF219" t="str">
            <v/>
          </cell>
          <cell r="FG219" t="str">
            <v/>
          </cell>
          <cell r="FH219" t="str">
            <v/>
          </cell>
          <cell r="FI219" t="str">
            <v/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 t="str">
            <v/>
          </cell>
          <cell r="CN220" t="str">
            <v/>
          </cell>
          <cell r="CO220" t="str">
            <v/>
          </cell>
          <cell r="CP220" t="str">
            <v/>
          </cell>
          <cell r="CQ220" t="str">
            <v/>
          </cell>
          <cell r="CR220" t="str">
            <v/>
          </cell>
          <cell r="CS220" t="str">
            <v/>
          </cell>
          <cell r="CT220" t="str">
            <v/>
          </cell>
          <cell r="CU220" t="str">
            <v/>
          </cell>
          <cell r="CV220" t="str">
            <v/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/>
          </cell>
          <cell r="DI220" t="str">
            <v/>
          </cell>
          <cell r="DJ220" t="str">
            <v/>
          </cell>
          <cell r="DK220" t="str">
            <v/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/>
          </cell>
          <cell r="EK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  <cell r="EU220" t="str">
            <v/>
          </cell>
          <cell r="EV220" t="str">
            <v/>
          </cell>
          <cell r="EW220" t="str">
            <v/>
          </cell>
          <cell r="EX220" t="str">
            <v/>
          </cell>
          <cell r="EY220" t="str">
            <v/>
          </cell>
          <cell r="EZ220" t="str">
            <v/>
          </cell>
          <cell r="FA220" t="str">
            <v/>
          </cell>
          <cell r="FB220" t="str">
            <v/>
          </cell>
          <cell r="FC220" t="str">
            <v/>
          </cell>
          <cell r="FD220" t="str">
            <v/>
          </cell>
          <cell r="FE220" t="str">
            <v/>
          </cell>
          <cell r="FF220" t="str">
            <v/>
          </cell>
          <cell r="FG220" t="str">
            <v/>
          </cell>
          <cell r="FH220" t="str">
            <v/>
          </cell>
          <cell r="FI220" t="str">
            <v/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 t="str">
            <v/>
          </cell>
          <cell r="BC221" t="str">
            <v/>
          </cell>
          <cell r="BD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 t="str">
            <v/>
          </cell>
          <cell r="CN221" t="str">
            <v/>
          </cell>
          <cell r="CO221" t="str">
            <v/>
          </cell>
          <cell r="CP221" t="str">
            <v/>
          </cell>
          <cell r="CQ221" t="str">
            <v/>
          </cell>
          <cell r="CR221" t="str">
            <v/>
          </cell>
          <cell r="CS221" t="str">
            <v/>
          </cell>
          <cell r="CT221" t="str">
            <v/>
          </cell>
          <cell r="CU221" t="str">
            <v/>
          </cell>
          <cell r="CV221" t="str">
            <v/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/>
          </cell>
          <cell r="DI221" t="str">
            <v/>
          </cell>
          <cell r="DJ221" t="str">
            <v/>
          </cell>
          <cell r="DK221" t="str">
            <v/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  <cell r="EU221" t="str">
            <v/>
          </cell>
          <cell r="EV221" t="str">
            <v/>
          </cell>
          <cell r="EW221" t="str">
            <v/>
          </cell>
          <cell r="EX221" t="str">
            <v/>
          </cell>
          <cell r="EY221" t="str">
            <v/>
          </cell>
          <cell r="EZ221" t="str">
            <v/>
          </cell>
          <cell r="FA221" t="str">
            <v/>
          </cell>
          <cell r="FB221" t="str">
            <v/>
          </cell>
          <cell r="FC221" t="str">
            <v/>
          </cell>
          <cell r="FD221" t="str">
            <v/>
          </cell>
          <cell r="FE221" t="str">
            <v/>
          </cell>
          <cell r="FF221" t="str">
            <v/>
          </cell>
          <cell r="FG221" t="str">
            <v/>
          </cell>
          <cell r="FH221" t="str">
            <v/>
          </cell>
          <cell r="FI221" t="str">
            <v/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/>
          </cell>
          <cell r="AZ222" t="str">
            <v/>
          </cell>
          <cell r="BA222" t="str">
            <v/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 t="str">
            <v/>
          </cell>
          <cell r="CP222" t="str">
            <v/>
          </cell>
          <cell r="CQ222" t="str">
            <v/>
          </cell>
          <cell r="CR222" t="str">
            <v/>
          </cell>
          <cell r="CS222" t="str">
            <v/>
          </cell>
          <cell r="CT222" t="str">
            <v/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/>
          </cell>
          <cell r="DI222" t="str">
            <v/>
          </cell>
          <cell r="DJ222" t="str">
            <v/>
          </cell>
          <cell r="DK222" t="str">
            <v/>
          </cell>
          <cell r="DL222" t="str">
            <v/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  <cell r="EU222" t="str">
            <v/>
          </cell>
          <cell r="EV222" t="str">
            <v/>
          </cell>
          <cell r="EW222" t="str">
            <v/>
          </cell>
          <cell r="EX222" t="str">
            <v/>
          </cell>
          <cell r="EY222" t="str">
            <v/>
          </cell>
          <cell r="EZ222" t="str">
            <v/>
          </cell>
          <cell r="FA222" t="str">
            <v/>
          </cell>
          <cell r="FB222" t="str">
            <v/>
          </cell>
          <cell r="FC222" t="str">
            <v/>
          </cell>
          <cell r="FD222" t="str">
            <v/>
          </cell>
          <cell r="FE222" t="str">
            <v/>
          </cell>
          <cell r="FF222" t="str">
            <v/>
          </cell>
          <cell r="FG222" t="str">
            <v/>
          </cell>
          <cell r="FH222" t="str">
            <v/>
          </cell>
          <cell r="FI222" t="str">
            <v/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 t="str">
            <v/>
          </cell>
          <cell r="CP223" t="str">
            <v/>
          </cell>
          <cell r="CQ223" t="str">
            <v/>
          </cell>
          <cell r="CR223" t="str">
            <v/>
          </cell>
          <cell r="CS223" t="str">
            <v/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 t="str">
            <v/>
          </cell>
          <cell r="DJ223" t="str">
            <v/>
          </cell>
          <cell r="DK223" t="str">
            <v/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  <cell r="EU223" t="str">
            <v/>
          </cell>
          <cell r="EV223" t="str">
            <v/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  <cell r="FB223" t="str">
            <v/>
          </cell>
          <cell r="FC223" t="str">
            <v/>
          </cell>
          <cell r="FD223" t="str">
            <v/>
          </cell>
          <cell r="FE223" t="str">
            <v/>
          </cell>
          <cell r="FF223" t="str">
            <v/>
          </cell>
          <cell r="FG223" t="str">
            <v/>
          </cell>
          <cell r="FH223" t="str">
            <v/>
          </cell>
          <cell r="FI223" t="str">
            <v/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  <cell r="CO228" t="str">
            <v/>
          </cell>
          <cell r="CP228" t="str">
            <v/>
          </cell>
          <cell r="CQ228" t="str">
            <v/>
          </cell>
          <cell r="CR228" t="str">
            <v/>
          </cell>
          <cell r="CS228" t="str">
            <v/>
          </cell>
          <cell r="CT228" t="str">
            <v/>
          </cell>
          <cell r="CU228" t="str">
            <v/>
          </cell>
          <cell r="CV228" t="str">
            <v/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/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/>
          </cell>
          <cell r="DI228" t="str">
            <v/>
          </cell>
          <cell r="DJ228" t="str">
            <v/>
          </cell>
          <cell r="DK228" t="str">
            <v/>
          </cell>
          <cell r="DL228" t="str">
            <v/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G228" t="str">
            <v/>
          </cell>
          <cell r="EH228" t="str">
            <v/>
          </cell>
          <cell r="EI228" t="str">
            <v/>
          </cell>
          <cell r="EJ228" t="str">
            <v/>
          </cell>
          <cell r="EK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  <cell r="EU228" t="str">
            <v/>
          </cell>
          <cell r="EV228" t="str">
            <v/>
          </cell>
        </row>
        <row r="229">
          <cell r="V229" t="str">
            <v>PROJECTED STREET</v>
          </cell>
          <cell r="X229">
            <v>36122.220141999998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/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  <cell r="CO229" t="str">
            <v/>
          </cell>
          <cell r="CP229" t="str">
            <v/>
          </cell>
          <cell r="CQ229" t="str">
            <v/>
          </cell>
          <cell r="CR229" t="str">
            <v/>
          </cell>
          <cell r="CS229" t="str">
            <v/>
          </cell>
          <cell r="CT229" t="str">
            <v/>
          </cell>
          <cell r="CU229" t="str">
            <v/>
          </cell>
          <cell r="CV229" t="str">
            <v/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/>
          </cell>
          <cell r="DI229" t="str">
            <v/>
          </cell>
          <cell r="DJ229" t="str">
            <v/>
          </cell>
          <cell r="DK229" t="str">
            <v/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/>
          </cell>
          <cell r="EK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  <cell r="EU229" t="str">
            <v/>
          </cell>
          <cell r="EV229" t="str">
            <v/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 t="str">
            <v/>
          </cell>
          <cell r="BC232" t="str">
            <v/>
          </cell>
          <cell r="BD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 t="str">
            <v/>
          </cell>
          <cell r="CP232" t="str">
            <v/>
          </cell>
          <cell r="CQ232" t="str">
            <v/>
          </cell>
          <cell r="CR232" t="str">
            <v/>
          </cell>
          <cell r="CS232" t="str">
            <v/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 t="str">
            <v/>
          </cell>
          <cell r="DJ232" t="str">
            <v/>
          </cell>
          <cell r="DK232" t="str">
            <v/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  <cell r="EU232" t="str">
            <v/>
          </cell>
          <cell r="EV232" t="str">
            <v/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 t="str">
            <v/>
          </cell>
          <cell r="BC233" t="str">
            <v/>
          </cell>
          <cell r="BD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 t="str">
            <v/>
          </cell>
          <cell r="CP233" t="str">
            <v/>
          </cell>
          <cell r="CQ233" t="str">
            <v/>
          </cell>
          <cell r="CR233" t="str">
            <v/>
          </cell>
          <cell r="CS233" t="str">
            <v/>
          </cell>
          <cell r="CT233" t="str">
            <v/>
          </cell>
          <cell r="CU233" t="str">
            <v/>
          </cell>
          <cell r="CV233" t="str">
            <v/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/>
          </cell>
          <cell r="DI233" t="str">
            <v/>
          </cell>
          <cell r="DJ233" t="str">
            <v/>
          </cell>
          <cell r="DK233" t="str">
            <v/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  <cell r="EU233" t="str">
            <v/>
          </cell>
          <cell r="EV233" t="str">
            <v/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/>
          </cell>
          <cell r="AY234" t="str">
            <v/>
          </cell>
          <cell r="AZ234" t="str">
            <v/>
          </cell>
          <cell r="BA234" t="str">
            <v/>
          </cell>
          <cell r="BB234" t="str">
            <v/>
          </cell>
          <cell r="BC234" t="str">
            <v/>
          </cell>
          <cell r="BD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 t="str">
            <v/>
          </cell>
          <cell r="CP234" t="str">
            <v/>
          </cell>
          <cell r="CQ234" t="str">
            <v/>
          </cell>
          <cell r="CR234" t="str">
            <v/>
          </cell>
          <cell r="CS234" t="str">
            <v/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 t="str">
            <v/>
          </cell>
          <cell r="DJ234" t="str">
            <v/>
          </cell>
          <cell r="DK234" t="str">
            <v/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  <cell r="EU234" t="str">
            <v/>
          </cell>
          <cell r="EV234" t="str">
            <v/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  <cell r="AU235" t="str">
            <v/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 t="str">
            <v/>
          </cell>
          <cell r="BC235" t="str">
            <v/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 t="str">
            <v/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/>
          </cell>
          <cell r="DI235" t="str">
            <v/>
          </cell>
          <cell r="DJ235" t="str">
            <v/>
          </cell>
          <cell r="DK235" t="str">
            <v/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  <cell r="EU235" t="str">
            <v/>
          </cell>
          <cell r="EV235" t="str">
            <v/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/>
          </cell>
          <cell r="DI236" t="str">
            <v/>
          </cell>
          <cell r="DJ236" t="str">
            <v/>
          </cell>
          <cell r="DK236" t="str">
            <v/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  <cell r="EU236" t="str">
            <v/>
          </cell>
          <cell r="EV236" t="str">
            <v/>
          </cell>
        </row>
        <row r="238">
          <cell r="T238" t="str">
            <v>BUDGET FORECAST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 t="str">
            <v/>
          </cell>
          <cell r="CP238" t="str">
            <v/>
          </cell>
          <cell r="CQ238" t="str">
            <v/>
          </cell>
          <cell r="CR238" t="str">
            <v/>
          </cell>
          <cell r="CS238" t="str">
            <v/>
          </cell>
          <cell r="CT238" t="str">
            <v/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/>
          </cell>
          <cell r="DI238" t="str">
            <v/>
          </cell>
          <cell r="DJ238" t="str">
            <v/>
          </cell>
          <cell r="DK238" t="str">
            <v/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  <cell r="EU238" t="str">
            <v/>
          </cell>
          <cell r="EV238" t="str">
            <v/>
          </cell>
          <cell r="EW238" t="str">
            <v/>
          </cell>
          <cell r="EX238" t="str">
            <v/>
          </cell>
          <cell r="EY238" t="str">
            <v/>
          </cell>
          <cell r="EZ238" t="str">
            <v/>
          </cell>
          <cell r="FA238" t="str">
            <v/>
          </cell>
          <cell r="FB238" t="str">
            <v/>
          </cell>
          <cell r="FC238" t="str">
            <v/>
          </cell>
          <cell r="FD238" t="str">
            <v/>
          </cell>
          <cell r="FE238" t="str">
            <v/>
          </cell>
          <cell r="FF238" t="str">
            <v/>
          </cell>
          <cell r="FG238" t="str">
            <v/>
          </cell>
          <cell r="FH238" t="str">
            <v/>
          </cell>
          <cell r="FI238" t="str">
            <v/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 t="str">
            <v/>
          </cell>
          <cell r="CP239" t="str">
            <v/>
          </cell>
          <cell r="CQ239" t="str">
            <v/>
          </cell>
          <cell r="CR239" t="str">
            <v/>
          </cell>
          <cell r="CS239" t="str">
            <v/>
          </cell>
          <cell r="CT239" t="str">
            <v/>
          </cell>
          <cell r="CU239" t="str">
            <v/>
          </cell>
          <cell r="CV239" t="str">
            <v/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/>
          </cell>
          <cell r="DI239" t="str">
            <v/>
          </cell>
          <cell r="DJ239" t="str">
            <v/>
          </cell>
          <cell r="DK239" t="str">
            <v/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  <cell r="EU239" t="str">
            <v/>
          </cell>
          <cell r="EV239" t="str">
            <v/>
          </cell>
          <cell r="EW239" t="str">
            <v/>
          </cell>
          <cell r="EX239" t="str">
            <v/>
          </cell>
          <cell r="EY239" t="str">
            <v/>
          </cell>
          <cell r="EZ239" t="str">
            <v/>
          </cell>
          <cell r="FA239" t="str">
            <v/>
          </cell>
          <cell r="FB239" t="str">
            <v/>
          </cell>
          <cell r="FC239" t="str">
            <v/>
          </cell>
          <cell r="FD239" t="str">
            <v/>
          </cell>
          <cell r="FE239" t="str">
            <v/>
          </cell>
          <cell r="FF239" t="str">
            <v/>
          </cell>
          <cell r="FG239" t="str">
            <v/>
          </cell>
          <cell r="FH239" t="str">
            <v/>
          </cell>
          <cell r="FI239" t="str">
            <v/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/>
          </cell>
          <cell r="AY240" t="str">
            <v/>
          </cell>
          <cell r="AZ240" t="str">
            <v/>
          </cell>
          <cell r="BA240" t="str">
            <v/>
          </cell>
          <cell r="BB240" t="str">
            <v/>
          </cell>
          <cell r="BC240" t="str">
            <v/>
          </cell>
          <cell r="BD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 t="str">
            <v/>
          </cell>
          <cell r="CP240" t="str">
            <v/>
          </cell>
          <cell r="CQ240" t="str">
            <v/>
          </cell>
          <cell r="CR240" t="str">
            <v/>
          </cell>
          <cell r="CS240" t="str">
            <v/>
          </cell>
          <cell r="CT240" t="str">
            <v/>
          </cell>
          <cell r="CU240" t="str">
            <v/>
          </cell>
          <cell r="CV240" t="str">
            <v/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/>
          </cell>
          <cell r="DI240" t="str">
            <v/>
          </cell>
          <cell r="DJ240" t="str">
            <v/>
          </cell>
          <cell r="DK240" t="str">
            <v/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  <cell r="EU240" t="str">
            <v/>
          </cell>
          <cell r="EV240" t="str">
            <v/>
          </cell>
          <cell r="EW240" t="str">
            <v/>
          </cell>
          <cell r="EX240" t="str">
            <v/>
          </cell>
          <cell r="EY240" t="str">
            <v/>
          </cell>
          <cell r="EZ240" t="str">
            <v/>
          </cell>
          <cell r="FA240" t="str">
            <v/>
          </cell>
          <cell r="FB240" t="str">
            <v/>
          </cell>
          <cell r="FC240" t="str">
            <v/>
          </cell>
          <cell r="FD240" t="str">
            <v/>
          </cell>
          <cell r="FE240" t="str">
            <v/>
          </cell>
          <cell r="FF240" t="str">
            <v/>
          </cell>
          <cell r="FG240" t="str">
            <v/>
          </cell>
          <cell r="FH240" t="str">
            <v/>
          </cell>
          <cell r="FI240" t="str">
            <v/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 t="str">
            <v/>
          </cell>
          <cell r="CW241" t="str">
            <v/>
          </cell>
          <cell r="CX241" t="str">
            <v/>
          </cell>
          <cell r="CY241" t="str">
            <v/>
          </cell>
          <cell r="CZ241" t="str">
            <v/>
          </cell>
          <cell r="DA241" t="str">
            <v/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  <cell r="DG241" t="str">
            <v/>
          </cell>
          <cell r="DH241" t="str">
            <v/>
          </cell>
          <cell r="DI241" t="str">
            <v/>
          </cell>
          <cell r="DJ241" t="str">
            <v/>
          </cell>
          <cell r="DK241" t="str">
            <v/>
          </cell>
          <cell r="DL241" t="str">
            <v/>
          </cell>
          <cell r="DM241" t="str">
            <v/>
          </cell>
          <cell r="DN241" t="str">
            <v/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G241" t="str">
            <v/>
          </cell>
          <cell r="EH241" t="str">
            <v/>
          </cell>
          <cell r="EI241" t="str">
            <v/>
          </cell>
          <cell r="EJ241" t="str">
            <v/>
          </cell>
          <cell r="EK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  <cell r="EU241" t="str">
            <v/>
          </cell>
          <cell r="EV241" t="str">
            <v/>
          </cell>
          <cell r="EW241" t="str">
            <v/>
          </cell>
          <cell r="EX241" t="str">
            <v/>
          </cell>
          <cell r="EY241" t="str">
            <v/>
          </cell>
          <cell r="EZ241" t="str">
            <v/>
          </cell>
          <cell r="FA241" t="str">
            <v/>
          </cell>
          <cell r="FB241" t="str">
            <v/>
          </cell>
          <cell r="FC241" t="str">
            <v/>
          </cell>
          <cell r="FD241" t="str">
            <v/>
          </cell>
          <cell r="FE241" t="str">
            <v/>
          </cell>
          <cell r="FF241" t="str">
            <v/>
          </cell>
          <cell r="FG241" t="str">
            <v/>
          </cell>
          <cell r="FH241" t="str">
            <v/>
          </cell>
          <cell r="FI241" t="str">
            <v/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/>
          </cell>
          <cell r="AY242" t="str">
            <v/>
          </cell>
          <cell r="AZ242" t="str">
            <v/>
          </cell>
          <cell r="BA242" t="str">
            <v/>
          </cell>
          <cell r="BB242" t="str">
            <v/>
          </cell>
          <cell r="BC242" t="str">
            <v/>
          </cell>
          <cell r="BD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L242" t="str">
            <v/>
          </cell>
          <cell r="BM242" t="str">
            <v/>
          </cell>
          <cell r="BN242" t="str">
            <v/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 t="str">
            <v/>
          </cell>
          <cell r="CW242" t="str">
            <v/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/>
          </cell>
          <cell r="DI242" t="str">
            <v/>
          </cell>
          <cell r="DJ242" t="str">
            <v/>
          </cell>
          <cell r="DK242" t="str">
            <v/>
          </cell>
          <cell r="DL242" t="str">
            <v/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G242" t="str">
            <v/>
          </cell>
          <cell r="EH242" t="str">
            <v/>
          </cell>
          <cell r="EI242" t="str">
            <v/>
          </cell>
          <cell r="EJ242" t="str">
            <v/>
          </cell>
          <cell r="EK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  <cell r="EU242" t="str">
            <v/>
          </cell>
          <cell r="EV242" t="str">
            <v/>
          </cell>
          <cell r="EW242" t="str">
            <v/>
          </cell>
          <cell r="EX242" t="str">
            <v/>
          </cell>
          <cell r="EY242" t="str">
            <v/>
          </cell>
          <cell r="EZ242" t="str">
            <v/>
          </cell>
          <cell r="FA242" t="str">
            <v/>
          </cell>
          <cell r="FB242" t="str">
            <v/>
          </cell>
          <cell r="FC242" t="str">
            <v/>
          </cell>
          <cell r="FD242" t="str">
            <v/>
          </cell>
          <cell r="FE242" t="str">
            <v/>
          </cell>
          <cell r="FF242" t="str">
            <v/>
          </cell>
          <cell r="FG242" t="str">
            <v/>
          </cell>
          <cell r="FH242" t="str">
            <v/>
          </cell>
          <cell r="FI242" t="str">
            <v/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/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/>
          </cell>
          <cell r="DI243" t="str">
            <v/>
          </cell>
          <cell r="DJ243" t="str">
            <v/>
          </cell>
          <cell r="DK243" t="str">
            <v/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  <cell r="EU243" t="str">
            <v/>
          </cell>
          <cell r="EV243" t="str">
            <v/>
          </cell>
          <cell r="EW243" t="str">
            <v/>
          </cell>
          <cell r="EX243" t="str">
            <v/>
          </cell>
          <cell r="EY243" t="str">
            <v/>
          </cell>
          <cell r="EZ243" t="str">
            <v/>
          </cell>
          <cell r="FA243" t="str">
            <v/>
          </cell>
          <cell r="FB243" t="str">
            <v/>
          </cell>
          <cell r="FC243" t="str">
            <v/>
          </cell>
          <cell r="FD243" t="str">
            <v/>
          </cell>
          <cell r="FE243" t="str">
            <v/>
          </cell>
          <cell r="FF243" t="str">
            <v/>
          </cell>
          <cell r="FG243" t="str">
            <v/>
          </cell>
          <cell r="FH243" t="str">
            <v/>
          </cell>
          <cell r="FI243" t="str">
            <v/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 t="str">
            <v/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/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/>
          </cell>
          <cell r="DI244" t="str">
            <v/>
          </cell>
          <cell r="DJ244" t="str">
            <v/>
          </cell>
          <cell r="DK244" t="str">
            <v/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/>
          </cell>
          <cell r="EK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  <cell r="EU244" t="str">
            <v/>
          </cell>
          <cell r="EV244" t="str">
            <v/>
          </cell>
          <cell r="EW244" t="str">
            <v/>
          </cell>
          <cell r="EX244" t="str">
            <v/>
          </cell>
          <cell r="EY244" t="str">
            <v/>
          </cell>
          <cell r="EZ244" t="str">
            <v/>
          </cell>
          <cell r="FA244" t="str">
            <v/>
          </cell>
          <cell r="FB244" t="str">
            <v/>
          </cell>
          <cell r="FC244" t="str">
            <v/>
          </cell>
          <cell r="FD244" t="str">
            <v/>
          </cell>
          <cell r="FE244" t="str">
            <v/>
          </cell>
          <cell r="FF244" t="str">
            <v/>
          </cell>
          <cell r="FG244" t="str">
            <v/>
          </cell>
          <cell r="FH244" t="str">
            <v/>
          </cell>
          <cell r="FI244" t="str">
            <v/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/>
          </cell>
          <cell r="CQ249" t="str">
            <v/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 t="str">
            <v/>
          </cell>
          <cell r="DH249" t="str">
            <v/>
          </cell>
          <cell r="DI249" t="str">
            <v/>
          </cell>
          <cell r="DJ249" t="str">
            <v/>
          </cell>
          <cell r="DK249" t="str">
            <v/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/>
          </cell>
          <cell r="EK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  <cell r="EU249" t="str">
            <v/>
          </cell>
          <cell r="EV249" t="str">
            <v/>
          </cell>
        </row>
        <row r="250">
          <cell r="V250" t="str">
            <v>PROJECTED STREET</v>
          </cell>
          <cell r="X250">
            <v>36184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/>
          </cell>
          <cell r="AQ250" t="str">
            <v/>
          </cell>
          <cell r="AR250" t="str">
            <v/>
          </cell>
          <cell r="AS250" t="str">
            <v/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/>
          </cell>
          <cell r="AY250" t="str">
            <v/>
          </cell>
          <cell r="AZ250" t="str">
            <v/>
          </cell>
          <cell r="BA250" t="str">
            <v/>
          </cell>
          <cell r="BB250" t="str">
            <v/>
          </cell>
          <cell r="BC250" t="str">
            <v/>
          </cell>
          <cell r="BD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  <cell r="CO250" t="str">
            <v/>
          </cell>
          <cell r="CP250" t="str">
            <v/>
          </cell>
          <cell r="CQ250" t="str">
            <v/>
          </cell>
          <cell r="CR250" t="str">
            <v/>
          </cell>
          <cell r="CS250" t="str">
            <v/>
          </cell>
          <cell r="CT250" t="str">
            <v/>
          </cell>
          <cell r="CU250" t="str">
            <v/>
          </cell>
          <cell r="CV250" t="str">
            <v/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/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 t="str">
            <v/>
          </cell>
          <cell r="DH250" t="str">
            <v/>
          </cell>
          <cell r="DI250" t="str">
            <v/>
          </cell>
          <cell r="DJ250" t="str">
            <v/>
          </cell>
          <cell r="DK250" t="str">
            <v/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/>
          </cell>
          <cell r="EK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  <cell r="EU250" t="str">
            <v/>
          </cell>
          <cell r="EV250" t="str">
            <v/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/>
          </cell>
          <cell r="AY253" t="str">
            <v/>
          </cell>
          <cell r="AZ253" t="str">
            <v/>
          </cell>
          <cell r="BA253" t="str">
            <v/>
          </cell>
          <cell r="BB253" t="str">
            <v/>
          </cell>
          <cell r="BC253" t="str">
            <v/>
          </cell>
          <cell r="BD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 t="str">
            <v/>
          </cell>
          <cell r="CV253" t="str">
            <v/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/>
          </cell>
          <cell r="DI253" t="str">
            <v/>
          </cell>
          <cell r="DJ253" t="str">
            <v/>
          </cell>
          <cell r="DK253" t="str">
            <v/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/>
          </cell>
          <cell r="EK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  <cell r="EU253" t="str">
            <v/>
          </cell>
          <cell r="EV253" t="str">
            <v/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/>
          </cell>
          <cell r="DI254" t="str">
            <v/>
          </cell>
          <cell r="DJ254" t="str">
            <v/>
          </cell>
          <cell r="DK254" t="str">
            <v/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  <cell r="EU254" t="str">
            <v/>
          </cell>
          <cell r="EV254" t="str">
            <v/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/>
          </cell>
          <cell r="DI255" t="str">
            <v/>
          </cell>
          <cell r="DJ255" t="str">
            <v/>
          </cell>
          <cell r="DK255" t="str">
            <v/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  <cell r="EU255" t="str">
            <v/>
          </cell>
          <cell r="EV255" t="str">
            <v/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 t="str">
            <v/>
          </cell>
          <cell r="BC256" t="str">
            <v/>
          </cell>
          <cell r="BD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/>
          </cell>
          <cell r="DI256" t="str">
            <v/>
          </cell>
          <cell r="DJ256" t="str">
            <v/>
          </cell>
          <cell r="DK256" t="str">
            <v/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  <cell r="EU256" t="str">
            <v/>
          </cell>
          <cell r="EV256" t="str">
            <v/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/>
          </cell>
          <cell r="CQ257" t="str">
            <v/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/>
          </cell>
          <cell r="DI257" t="str">
            <v/>
          </cell>
          <cell r="DJ257" t="str">
            <v/>
          </cell>
          <cell r="DK257" t="str">
            <v/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  <cell r="EU257" t="str">
            <v/>
          </cell>
          <cell r="EV257" t="str">
            <v/>
          </cell>
        </row>
        <row r="259">
          <cell r="T259" t="str">
            <v>BUDGET FORECAST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 t="str">
            <v/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/>
          </cell>
          <cell r="DI259" t="str">
            <v/>
          </cell>
          <cell r="DJ259" t="str">
            <v/>
          </cell>
          <cell r="DK259" t="str">
            <v/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  <cell r="EU259" t="str">
            <v/>
          </cell>
          <cell r="EV259" t="str">
            <v/>
          </cell>
          <cell r="EW259" t="str">
            <v/>
          </cell>
          <cell r="EX259" t="str">
            <v/>
          </cell>
          <cell r="EY259" t="str">
            <v/>
          </cell>
          <cell r="EZ259" t="str">
            <v/>
          </cell>
          <cell r="FA259" t="str">
            <v/>
          </cell>
          <cell r="FB259" t="str">
            <v/>
          </cell>
          <cell r="FC259" t="str">
            <v/>
          </cell>
          <cell r="FD259" t="str">
            <v/>
          </cell>
          <cell r="FE259" t="str">
            <v/>
          </cell>
          <cell r="FF259" t="str">
            <v/>
          </cell>
          <cell r="FG259" t="str">
            <v/>
          </cell>
          <cell r="FH259" t="str">
            <v/>
          </cell>
          <cell r="FI259" t="str">
            <v/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 t="str">
            <v/>
          </cell>
          <cell r="BC260" t="str">
            <v/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 t="str">
            <v/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/>
          </cell>
          <cell r="DI260" t="str">
            <v/>
          </cell>
          <cell r="DJ260" t="str">
            <v/>
          </cell>
          <cell r="DK260" t="str">
            <v/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  <cell r="EU260" t="str">
            <v/>
          </cell>
          <cell r="EV260" t="str">
            <v/>
          </cell>
          <cell r="EW260" t="str">
            <v/>
          </cell>
          <cell r="EX260" t="str">
            <v/>
          </cell>
          <cell r="EY260" t="str">
            <v/>
          </cell>
          <cell r="EZ260" t="str">
            <v/>
          </cell>
          <cell r="FA260" t="str">
            <v/>
          </cell>
          <cell r="FB260" t="str">
            <v/>
          </cell>
          <cell r="FC260" t="str">
            <v/>
          </cell>
          <cell r="FD260" t="str">
            <v/>
          </cell>
          <cell r="FE260" t="str">
            <v/>
          </cell>
          <cell r="FF260" t="str">
            <v/>
          </cell>
          <cell r="FG260" t="str">
            <v/>
          </cell>
          <cell r="FH260" t="str">
            <v/>
          </cell>
          <cell r="FI260" t="str">
            <v/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 t="str">
            <v/>
          </cell>
          <cell r="BC261" t="str">
            <v/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 t="str">
            <v/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 t="str">
            <v/>
          </cell>
          <cell r="DH261" t="str">
            <v/>
          </cell>
          <cell r="DI261" t="str">
            <v/>
          </cell>
          <cell r="DJ261" t="str">
            <v/>
          </cell>
          <cell r="DK261" t="str">
            <v/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/>
          </cell>
          <cell r="EK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  <cell r="EU261" t="str">
            <v/>
          </cell>
          <cell r="EV261" t="str">
            <v/>
          </cell>
          <cell r="EW261" t="str">
            <v/>
          </cell>
          <cell r="EX261" t="str">
            <v/>
          </cell>
          <cell r="EY261" t="str">
            <v/>
          </cell>
          <cell r="EZ261" t="str">
            <v/>
          </cell>
          <cell r="FA261" t="str">
            <v/>
          </cell>
          <cell r="FB261" t="str">
            <v/>
          </cell>
          <cell r="FC261" t="str">
            <v/>
          </cell>
          <cell r="FD261" t="str">
            <v/>
          </cell>
          <cell r="FE261" t="str">
            <v/>
          </cell>
          <cell r="FF261" t="str">
            <v/>
          </cell>
          <cell r="FG261" t="str">
            <v/>
          </cell>
          <cell r="FH261" t="str">
            <v/>
          </cell>
          <cell r="FI261" t="str">
            <v/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 t="str">
            <v/>
          </cell>
          <cell r="DB262" t="str">
            <v/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 t="str">
            <v/>
          </cell>
          <cell r="DH262" t="str">
            <v/>
          </cell>
          <cell r="DI262" t="str">
            <v/>
          </cell>
          <cell r="DJ262" t="str">
            <v/>
          </cell>
          <cell r="DK262" t="str">
            <v/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/>
          </cell>
          <cell r="EK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  <cell r="EU262" t="str">
            <v/>
          </cell>
          <cell r="EV262" t="str">
            <v/>
          </cell>
          <cell r="EW262" t="str">
            <v/>
          </cell>
          <cell r="EX262" t="str">
            <v/>
          </cell>
          <cell r="EY262" t="str">
            <v/>
          </cell>
          <cell r="EZ262" t="str">
            <v/>
          </cell>
          <cell r="FA262" t="str">
            <v/>
          </cell>
          <cell r="FB262" t="str">
            <v/>
          </cell>
          <cell r="FC262" t="str">
            <v/>
          </cell>
          <cell r="FD262" t="str">
            <v/>
          </cell>
          <cell r="FE262" t="str">
            <v/>
          </cell>
          <cell r="FF262" t="str">
            <v/>
          </cell>
          <cell r="FG262" t="str">
            <v/>
          </cell>
          <cell r="FH262" t="str">
            <v/>
          </cell>
          <cell r="FI262" t="str">
            <v/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/>
          </cell>
          <cell r="DI263" t="str">
            <v/>
          </cell>
          <cell r="DJ263" t="str">
            <v/>
          </cell>
          <cell r="DK263" t="str">
            <v/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  <cell r="EU263" t="str">
            <v/>
          </cell>
          <cell r="EV263" t="str">
            <v/>
          </cell>
          <cell r="EW263" t="str">
            <v/>
          </cell>
          <cell r="EX263" t="str">
            <v/>
          </cell>
          <cell r="EY263" t="str">
            <v/>
          </cell>
          <cell r="EZ263" t="str">
            <v/>
          </cell>
          <cell r="FA263" t="str">
            <v/>
          </cell>
          <cell r="FB263" t="str">
            <v/>
          </cell>
          <cell r="FC263" t="str">
            <v/>
          </cell>
          <cell r="FD263" t="str">
            <v/>
          </cell>
          <cell r="FE263" t="str">
            <v/>
          </cell>
          <cell r="FF263" t="str">
            <v/>
          </cell>
          <cell r="FG263" t="str">
            <v/>
          </cell>
          <cell r="FH263" t="str">
            <v/>
          </cell>
          <cell r="FI263" t="str">
            <v/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/>
          </cell>
          <cell r="AZ264" t="str">
            <v/>
          </cell>
          <cell r="BA264" t="str">
            <v/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/>
          </cell>
          <cell r="BN264" t="str">
            <v/>
          </cell>
          <cell r="BO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/>
          </cell>
          <cell r="CQ264" t="str">
            <v/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/>
          </cell>
          <cell r="DI264" t="str">
            <v/>
          </cell>
          <cell r="DJ264" t="str">
            <v/>
          </cell>
          <cell r="DK264" t="str">
            <v/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  <cell r="EU264" t="str">
            <v/>
          </cell>
          <cell r="EV264" t="str">
            <v/>
          </cell>
          <cell r="EW264" t="str">
            <v/>
          </cell>
          <cell r="EX264" t="str">
            <v/>
          </cell>
          <cell r="EY264" t="str">
            <v/>
          </cell>
          <cell r="EZ264" t="str">
            <v/>
          </cell>
          <cell r="FA264" t="str">
            <v/>
          </cell>
          <cell r="FB264" t="str">
            <v/>
          </cell>
          <cell r="FC264" t="str">
            <v/>
          </cell>
          <cell r="FD264" t="str">
            <v/>
          </cell>
          <cell r="FE264" t="str">
            <v/>
          </cell>
          <cell r="FF264" t="str">
            <v/>
          </cell>
          <cell r="FG264" t="str">
            <v/>
          </cell>
          <cell r="FH264" t="str">
            <v/>
          </cell>
          <cell r="FI264" t="str">
            <v/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 t="str">
            <v/>
          </cell>
          <cell r="BC265" t="str">
            <v/>
          </cell>
          <cell r="BD265" t="str">
            <v/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  <cell r="CO265" t="str">
            <v/>
          </cell>
          <cell r="CP265" t="str">
            <v/>
          </cell>
          <cell r="CQ265" t="str">
            <v/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/>
          </cell>
          <cell r="DI265" t="str">
            <v/>
          </cell>
          <cell r="DJ265" t="str">
            <v/>
          </cell>
          <cell r="DK265" t="str">
            <v/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/>
          </cell>
          <cell r="EK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  <cell r="EU265" t="str">
            <v/>
          </cell>
          <cell r="EV265" t="str">
            <v/>
          </cell>
          <cell r="EW265" t="str">
            <v/>
          </cell>
          <cell r="EX265" t="str">
            <v/>
          </cell>
          <cell r="EY265" t="str">
            <v/>
          </cell>
          <cell r="EZ265" t="str">
            <v/>
          </cell>
          <cell r="FA265" t="str">
            <v/>
          </cell>
          <cell r="FB265" t="str">
            <v/>
          </cell>
          <cell r="FC265" t="str">
            <v/>
          </cell>
          <cell r="FD265" t="str">
            <v/>
          </cell>
          <cell r="FE265" t="str">
            <v/>
          </cell>
          <cell r="FF265" t="str">
            <v/>
          </cell>
          <cell r="FG265" t="str">
            <v/>
          </cell>
          <cell r="FH265" t="str">
            <v/>
          </cell>
          <cell r="FI265" t="str">
            <v/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/>
          </cell>
          <cell r="AY270" t="str">
            <v/>
          </cell>
          <cell r="AZ270" t="str">
            <v/>
          </cell>
          <cell r="BA270" t="str">
            <v/>
          </cell>
          <cell r="BB270" t="str">
            <v/>
          </cell>
          <cell r="BC270" t="str">
            <v/>
          </cell>
          <cell r="BD270" t="str">
            <v/>
          </cell>
          <cell r="BE270" t="str">
            <v/>
          </cell>
          <cell r="BF270" t="str">
            <v/>
          </cell>
          <cell r="BG270" t="str">
            <v/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 t="str">
            <v/>
          </cell>
          <cell r="BN270" t="str">
            <v/>
          </cell>
          <cell r="BO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  <cell r="CO270" t="str">
            <v/>
          </cell>
          <cell r="CP270" t="str">
            <v/>
          </cell>
          <cell r="CQ270" t="str">
            <v/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/>
          </cell>
          <cell r="DI270" t="str">
            <v/>
          </cell>
          <cell r="DJ270" t="str">
            <v/>
          </cell>
          <cell r="DK270" t="str">
            <v/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  <cell r="EU270" t="str">
            <v/>
          </cell>
          <cell r="EV270" t="str">
            <v/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 t="str">
            <v/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 t="str">
            <v/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 t="str">
            <v/>
          </cell>
          <cell r="U10" t="str">
            <v/>
          </cell>
          <cell r="V10" t="str">
            <v/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 t="str">
            <v/>
          </cell>
          <cell r="U11" t="str">
            <v/>
          </cell>
          <cell r="V11" t="str">
            <v/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 t="str">
            <v/>
          </cell>
          <cell r="U12" t="str">
            <v/>
          </cell>
          <cell r="V12" t="str">
            <v/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 t="str">
            <v/>
          </cell>
          <cell r="U13" t="str">
            <v/>
          </cell>
          <cell r="V13" t="str">
            <v/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 t="str">
            <v/>
          </cell>
          <cell r="U14" t="str">
            <v/>
          </cell>
          <cell r="V14" t="str">
            <v/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 t="str">
            <v/>
          </cell>
          <cell r="U20" t="str">
            <v/>
          </cell>
          <cell r="V20" t="str">
            <v/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 t="str">
            <v/>
          </cell>
          <cell r="U21" t="str">
            <v/>
          </cell>
          <cell r="V21" t="str">
            <v/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 t="str">
            <v/>
          </cell>
          <cell r="U22" t="str">
            <v/>
          </cell>
          <cell r="V22" t="str">
            <v/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 t="str">
            <v/>
          </cell>
          <cell r="U23" t="str">
            <v/>
          </cell>
          <cell r="V23" t="str">
            <v/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 t="str">
            <v/>
          </cell>
          <cell r="U24" t="str">
            <v/>
          </cell>
          <cell r="V24" t="str">
            <v/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 t="str">
            <v/>
          </cell>
          <cell r="U25" t="str">
            <v/>
          </cell>
          <cell r="V25" t="str">
            <v/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 t="str">
            <v/>
          </cell>
          <cell r="U26" t="str">
            <v/>
          </cell>
          <cell r="V26" t="str">
            <v/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 t="str">
            <v/>
          </cell>
          <cell r="U32" t="str">
            <v/>
          </cell>
          <cell r="V32" t="str">
            <v/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 t="str">
            <v/>
          </cell>
          <cell r="U33" t="str">
            <v/>
          </cell>
          <cell r="V33" t="str">
            <v/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 t="str">
            <v/>
          </cell>
          <cell r="U34" t="str">
            <v/>
          </cell>
          <cell r="V34" t="str">
            <v/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 t="str">
            <v/>
          </cell>
          <cell r="U35" t="str">
            <v/>
          </cell>
          <cell r="V35" t="str">
            <v/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 t="str">
            <v/>
          </cell>
          <cell r="U36" t="str">
            <v/>
          </cell>
          <cell r="V36" t="str">
            <v/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 t="str">
            <v/>
          </cell>
          <cell r="U37" t="str">
            <v/>
          </cell>
          <cell r="V37" t="str">
            <v/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 t="str">
            <v/>
          </cell>
          <cell r="U38" t="str">
            <v/>
          </cell>
          <cell r="V38" t="str">
            <v/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 t="str">
            <v/>
          </cell>
          <cell r="U44" t="str">
            <v/>
          </cell>
          <cell r="V44" t="str">
            <v/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 t="str">
            <v/>
          </cell>
          <cell r="U45" t="str">
            <v/>
          </cell>
          <cell r="V45" t="str">
            <v/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 t="str">
            <v/>
          </cell>
          <cell r="U46" t="str">
            <v/>
          </cell>
          <cell r="V46" t="str">
            <v/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 t="str">
            <v/>
          </cell>
          <cell r="U47" t="str">
            <v/>
          </cell>
          <cell r="V47" t="str">
            <v/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 t="str">
            <v/>
          </cell>
          <cell r="U48" t="str">
            <v/>
          </cell>
          <cell r="V48" t="str">
            <v/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 t="str">
            <v/>
          </cell>
          <cell r="U49" t="str">
            <v/>
          </cell>
          <cell r="V49" t="str">
            <v/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 t="str">
            <v/>
          </cell>
          <cell r="U50" t="str">
            <v/>
          </cell>
          <cell r="V50" t="str">
            <v/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 t="str">
            <v/>
          </cell>
          <cell r="U56" t="str">
            <v/>
          </cell>
          <cell r="V56" t="str">
            <v/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 t="str">
            <v/>
          </cell>
          <cell r="U57" t="str">
            <v/>
          </cell>
          <cell r="V57" t="str">
            <v/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 t="str">
            <v/>
          </cell>
          <cell r="U58" t="str">
            <v/>
          </cell>
          <cell r="V58" t="str">
            <v/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 t="str">
            <v/>
          </cell>
          <cell r="U59" t="str">
            <v/>
          </cell>
          <cell r="V59" t="str">
            <v/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 t="str">
            <v/>
          </cell>
          <cell r="U60" t="str">
            <v/>
          </cell>
          <cell r="V60" t="str">
            <v/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 t="str">
            <v/>
          </cell>
          <cell r="U61" t="str">
            <v/>
          </cell>
          <cell r="V61" t="str">
            <v/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 t="str">
            <v/>
          </cell>
          <cell r="U62" t="str">
            <v/>
          </cell>
          <cell r="V62" t="str">
            <v/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 t="str">
            <v/>
          </cell>
          <cell r="U71" t="str">
            <v/>
          </cell>
          <cell r="V71" t="str">
            <v/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 t="str">
            <v/>
          </cell>
          <cell r="U72" t="str">
            <v/>
          </cell>
          <cell r="V72" t="str">
            <v/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 t="str">
            <v/>
          </cell>
          <cell r="U73" t="str">
            <v/>
          </cell>
          <cell r="V73" t="str">
            <v/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 t="str">
            <v/>
          </cell>
          <cell r="U74" t="str">
            <v/>
          </cell>
          <cell r="V74" t="str">
            <v/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 t="str">
            <v/>
          </cell>
          <cell r="U80" t="str">
            <v/>
          </cell>
          <cell r="V80" t="str">
            <v/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 t="str">
            <v/>
          </cell>
          <cell r="U81" t="str">
            <v/>
          </cell>
          <cell r="V81" t="str">
            <v/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 t="str">
            <v/>
          </cell>
          <cell r="U82" t="str">
            <v/>
          </cell>
          <cell r="V82" t="str">
            <v/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 t="str">
            <v/>
          </cell>
          <cell r="U83" t="str">
            <v/>
          </cell>
          <cell r="V83" t="str">
            <v/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 t="str">
            <v/>
          </cell>
          <cell r="U84" t="str">
            <v/>
          </cell>
          <cell r="V84" t="str">
            <v/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 t="str">
            <v/>
          </cell>
          <cell r="U85" t="str">
            <v/>
          </cell>
          <cell r="V85" t="str">
            <v/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 t="str">
            <v/>
          </cell>
          <cell r="U86" t="str">
            <v/>
          </cell>
          <cell r="V86" t="str">
            <v/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 t="str">
            <v/>
          </cell>
          <cell r="U92" t="str">
            <v/>
          </cell>
          <cell r="V92" t="str">
            <v/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 t="str">
            <v/>
          </cell>
          <cell r="U93" t="str">
            <v/>
          </cell>
          <cell r="V93" t="str">
            <v/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 t="str">
            <v/>
          </cell>
          <cell r="U94" t="str">
            <v/>
          </cell>
          <cell r="V94" t="str">
            <v/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 t="str">
            <v/>
          </cell>
          <cell r="U95" t="str">
            <v/>
          </cell>
          <cell r="V95" t="str">
            <v/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 t="str">
            <v/>
          </cell>
          <cell r="U96" t="str">
            <v/>
          </cell>
          <cell r="V96" t="str">
            <v/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 t="str">
            <v/>
          </cell>
          <cell r="U97" t="str">
            <v/>
          </cell>
          <cell r="V97" t="str">
            <v/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 t="str">
            <v/>
          </cell>
          <cell r="U98" t="str">
            <v/>
          </cell>
          <cell r="V98" t="str">
            <v/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 t="str">
            <v/>
          </cell>
          <cell r="U104" t="str">
            <v/>
          </cell>
          <cell r="V104" t="str">
            <v/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 t="str">
            <v/>
          </cell>
          <cell r="U105" t="str">
            <v/>
          </cell>
          <cell r="V105" t="str">
            <v/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 t="str">
            <v/>
          </cell>
          <cell r="U106" t="str">
            <v/>
          </cell>
          <cell r="V106" t="str">
            <v/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 t="str">
            <v/>
          </cell>
          <cell r="U107" t="str">
            <v/>
          </cell>
          <cell r="V107" t="str">
            <v/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 t="str">
            <v/>
          </cell>
          <cell r="U108" t="str">
            <v/>
          </cell>
          <cell r="V108" t="str">
            <v/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 t="str">
            <v/>
          </cell>
          <cell r="U109" t="str">
            <v/>
          </cell>
          <cell r="V109" t="str">
            <v/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 t="str">
            <v/>
          </cell>
          <cell r="U110" t="str">
            <v/>
          </cell>
          <cell r="V110" t="str">
            <v/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 t="str">
            <v/>
          </cell>
          <cell r="U116" t="str">
            <v/>
          </cell>
          <cell r="V116" t="str">
            <v/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 t="str">
            <v/>
          </cell>
          <cell r="U117" t="str">
            <v/>
          </cell>
          <cell r="V117" t="str">
            <v/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 t="str">
            <v/>
          </cell>
          <cell r="U118" t="str">
            <v/>
          </cell>
          <cell r="V118" t="str">
            <v/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 t="str">
            <v/>
          </cell>
          <cell r="U119" t="str">
            <v/>
          </cell>
          <cell r="V119" t="str">
            <v/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 t="str">
            <v/>
          </cell>
          <cell r="U120" t="str">
            <v/>
          </cell>
          <cell r="V120" t="str">
            <v/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 t="str">
            <v/>
          </cell>
          <cell r="U121" t="str">
            <v/>
          </cell>
          <cell r="V121" t="str">
            <v/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 t="str">
            <v/>
          </cell>
          <cell r="U122" t="str">
            <v/>
          </cell>
          <cell r="V122" t="str">
            <v/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 t="str">
            <v/>
          </cell>
          <cell r="U130" t="str">
            <v/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 t="str">
            <v/>
          </cell>
          <cell r="U131" t="str">
            <v/>
          </cell>
          <cell r="V131" t="str">
            <v/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 t="str">
            <v/>
          </cell>
          <cell r="U138" t="str">
            <v/>
          </cell>
          <cell r="V138" t="str">
            <v/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 t="str">
            <v/>
          </cell>
          <cell r="U139" t="str">
            <v/>
          </cell>
          <cell r="V139" t="str">
            <v/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 t="str">
            <v/>
          </cell>
          <cell r="U140" t="str">
            <v/>
          </cell>
          <cell r="V140" t="str">
            <v/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 t="str">
            <v/>
          </cell>
          <cell r="U148" t="str">
            <v/>
          </cell>
          <cell r="V148" t="str">
            <v/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 t="str">
            <v/>
          </cell>
          <cell r="U149" t="str">
            <v/>
          </cell>
          <cell r="V149" t="str">
            <v/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 t="str">
            <v/>
          </cell>
          <cell r="U150" t="str">
            <v/>
          </cell>
          <cell r="V150" t="str">
            <v/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 t="str">
            <v/>
          </cell>
          <cell r="U158" t="str">
            <v/>
          </cell>
          <cell r="V158" t="str">
            <v/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 t="str">
            <v/>
          </cell>
          <cell r="U159" t="str">
            <v/>
          </cell>
          <cell r="V159" t="str">
            <v/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 t="str">
            <v/>
          </cell>
          <cell r="U160" t="str">
            <v/>
          </cell>
          <cell r="V160" t="str">
            <v/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B2:C4"/>
  <sheetViews>
    <sheetView showGridLines="0" workbookViewId="0">
      <selection activeCell="C4" sqref="C4"/>
    </sheetView>
  </sheetViews>
  <sheetFormatPr defaultRowHeight="14.25" x14ac:dyDescent="0.2"/>
  <cols>
    <col min="1" max="1" width="9.140625" style="5"/>
    <col min="2" max="2" width="17.7109375" style="5" customWidth="1"/>
    <col min="3" max="3" width="20" style="5" customWidth="1"/>
    <col min="4" max="16384" width="9.140625" style="5"/>
  </cols>
  <sheetData>
    <row r="2" spans="2:3" x14ac:dyDescent="0.2">
      <c r="B2" s="6" t="s">
        <v>71</v>
      </c>
      <c r="C2" s="19">
        <f ca="1">TODAY()</f>
        <v>41678</v>
      </c>
    </row>
    <row r="4" spans="2:3" x14ac:dyDescent="0.2">
      <c r="B4" s="6" t="s">
        <v>72</v>
      </c>
      <c r="C4" s="20">
        <f ca="1">NOW()</f>
        <v>41678.556620023148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G11"/>
  <sheetViews>
    <sheetView showGridLines="0" zoomScaleNormal="100" workbookViewId="0">
      <selection activeCell="D11" sqref="D11"/>
    </sheetView>
  </sheetViews>
  <sheetFormatPr defaultRowHeight="14.25" x14ac:dyDescent="0.2"/>
  <cols>
    <col min="1" max="1" width="14.42578125" style="5" bestFit="1" customWidth="1"/>
    <col min="2" max="2" width="18.7109375" style="5" customWidth="1"/>
    <col min="3" max="3" width="19.5703125" style="5" bestFit="1" customWidth="1"/>
    <col min="4" max="4" width="13.85546875" style="5" bestFit="1" customWidth="1"/>
    <col min="5" max="5" width="9.140625" style="5"/>
    <col min="6" max="6" width="11.85546875" style="5" bestFit="1" customWidth="1"/>
    <col min="7" max="7" width="11.28515625" style="5" bestFit="1" customWidth="1"/>
    <col min="8" max="16384" width="9.140625" style="5"/>
  </cols>
  <sheetData>
    <row r="1" spans="1:7" x14ac:dyDescent="0.2">
      <c r="A1" s="6" t="s">
        <v>73</v>
      </c>
      <c r="B1" s="6" t="s">
        <v>85</v>
      </c>
      <c r="C1" s="6" t="s">
        <v>86</v>
      </c>
      <c r="D1" s="6" t="s">
        <v>84</v>
      </c>
      <c r="F1" s="17">
        <v>41328</v>
      </c>
      <c r="G1" s="17">
        <v>41341</v>
      </c>
    </row>
    <row r="2" spans="1:7" x14ac:dyDescent="0.2">
      <c r="A2" s="18" t="s">
        <v>74</v>
      </c>
      <c r="B2" s="19">
        <v>41318</v>
      </c>
      <c r="C2" s="19">
        <f>B2+7</f>
        <v>41325</v>
      </c>
      <c r="D2" s="19">
        <f>WORKDAY(C2,5,$F$1:$G$1)</f>
        <v>41332</v>
      </c>
    </row>
    <row r="3" spans="1:7" x14ac:dyDescent="0.2">
      <c r="A3" s="18" t="s">
        <v>75</v>
      </c>
      <c r="B3" s="19">
        <v>41319</v>
      </c>
      <c r="C3" s="19">
        <f t="shared" ref="C3:C11" si="0">B3+7</f>
        <v>41326</v>
      </c>
      <c r="D3" s="19">
        <f t="shared" ref="D3:D11" si="1">WORKDAY(C3,5,$F$1:$G$1)</f>
        <v>41333</v>
      </c>
    </row>
    <row r="4" spans="1:7" x14ac:dyDescent="0.2">
      <c r="A4" s="18" t="s">
        <v>76</v>
      </c>
      <c r="B4" s="19">
        <v>41320</v>
      </c>
      <c r="C4" s="19">
        <f t="shared" si="0"/>
        <v>41327</v>
      </c>
      <c r="D4" s="19">
        <f t="shared" si="1"/>
        <v>41334</v>
      </c>
    </row>
    <row r="5" spans="1:7" x14ac:dyDescent="0.2">
      <c r="A5" s="18" t="s">
        <v>77</v>
      </c>
      <c r="B5" s="19">
        <v>41321</v>
      </c>
      <c r="C5" s="19">
        <f t="shared" si="0"/>
        <v>41328</v>
      </c>
      <c r="D5" s="19">
        <f t="shared" si="1"/>
        <v>41334</v>
      </c>
    </row>
    <row r="6" spans="1:7" x14ac:dyDescent="0.2">
      <c r="A6" s="18" t="s">
        <v>78</v>
      </c>
      <c r="B6" s="19">
        <v>41322</v>
      </c>
      <c r="C6" s="19">
        <f t="shared" si="0"/>
        <v>41329</v>
      </c>
      <c r="D6" s="19">
        <f t="shared" si="1"/>
        <v>41334</v>
      </c>
    </row>
    <row r="7" spans="1:7" x14ac:dyDescent="0.2">
      <c r="A7" s="18" t="s">
        <v>79</v>
      </c>
      <c r="B7" s="19">
        <v>41323</v>
      </c>
      <c r="C7" s="19">
        <f t="shared" si="0"/>
        <v>41330</v>
      </c>
      <c r="D7" s="19">
        <f t="shared" si="1"/>
        <v>41337</v>
      </c>
    </row>
    <row r="8" spans="1:7" x14ac:dyDescent="0.2">
      <c r="A8" s="18" t="s">
        <v>80</v>
      </c>
      <c r="B8" s="19">
        <v>41324</v>
      </c>
      <c r="C8" s="19">
        <f t="shared" si="0"/>
        <v>41331</v>
      </c>
      <c r="D8" s="19">
        <f t="shared" si="1"/>
        <v>41338</v>
      </c>
    </row>
    <row r="9" spans="1:7" x14ac:dyDescent="0.2">
      <c r="A9" s="18" t="s">
        <v>81</v>
      </c>
      <c r="B9" s="19">
        <v>41325</v>
      </c>
      <c r="C9" s="19">
        <f t="shared" si="0"/>
        <v>41332</v>
      </c>
      <c r="D9" s="19">
        <f t="shared" si="1"/>
        <v>41339</v>
      </c>
    </row>
    <row r="10" spans="1:7" x14ac:dyDescent="0.2">
      <c r="A10" s="18" t="s">
        <v>82</v>
      </c>
      <c r="B10" s="19">
        <v>41326</v>
      </c>
      <c r="C10" s="19">
        <f t="shared" si="0"/>
        <v>41333</v>
      </c>
      <c r="D10" s="19">
        <f t="shared" si="1"/>
        <v>41340</v>
      </c>
    </row>
    <row r="11" spans="1:7" x14ac:dyDescent="0.2">
      <c r="A11" s="18" t="s">
        <v>83</v>
      </c>
      <c r="B11" s="19">
        <v>41327</v>
      </c>
      <c r="C11" s="19">
        <f t="shared" si="0"/>
        <v>41334</v>
      </c>
      <c r="D11" s="19">
        <f t="shared" si="1"/>
        <v>41344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H12"/>
  <sheetViews>
    <sheetView showGridLines="0" zoomScaleNormal="100" workbookViewId="0">
      <selection activeCell="G3" sqref="G3"/>
    </sheetView>
  </sheetViews>
  <sheetFormatPr defaultRowHeight="14.25" x14ac:dyDescent="0.2"/>
  <cols>
    <col min="1" max="1" width="6.7109375" style="5" bestFit="1" customWidth="1"/>
    <col min="2" max="2" width="14.42578125" style="5" customWidth="1"/>
    <col min="3" max="3" width="13.28515625" style="5" bestFit="1" customWidth="1"/>
    <col min="4" max="4" width="16.5703125" style="5" bestFit="1" customWidth="1"/>
    <col min="5" max="5" width="15.140625" style="5" customWidth="1"/>
    <col min="6" max="6" width="16.28515625" style="5" customWidth="1"/>
    <col min="7" max="7" width="19.28515625" style="5" customWidth="1"/>
    <col min="8" max="8" width="11.28515625" style="5" bestFit="1" customWidth="1"/>
    <col min="9" max="10" width="9.140625" style="5"/>
    <col min="11" max="11" width="11.28515625" style="5" bestFit="1" customWidth="1"/>
    <col min="12" max="16384" width="9.140625" style="5"/>
  </cols>
  <sheetData>
    <row r="1" spans="1:8" x14ac:dyDescent="0.2">
      <c r="A1" s="21" t="s">
        <v>169</v>
      </c>
      <c r="B1" s="21" t="s">
        <v>91</v>
      </c>
      <c r="C1" s="21" t="s">
        <v>87</v>
      </c>
      <c r="D1" s="21" t="s">
        <v>88</v>
      </c>
      <c r="E1" s="23" t="s">
        <v>102</v>
      </c>
      <c r="F1" s="24"/>
      <c r="H1" s="17">
        <v>41341</v>
      </c>
    </row>
    <row r="2" spans="1:8" x14ac:dyDescent="0.2">
      <c r="A2" s="22"/>
      <c r="B2" s="22"/>
      <c r="C2" s="22"/>
      <c r="D2" s="22"/>
      <c r="E2" s="6" t="s">
        <v>89</v>
      </c>
      <c r="F2" s="2" t="s">
        <v>90</v>
      </c>
    </row>
    <row r="3" spans="1:8" x14ac:dyDescent="0.2">
      <c r="A3" s="18">
        <v>1</v>
      </c>
      <c r="B3" s="18" t="s">
        <v>92</v>
      </c>
      <c r="C3" s="19">
        <v>41334</v>
      </c>
      <c r="D3" s="19">
        <v>41339</v>
      </c>
      <c r="E3" s="18">
        <f>D3-C3+1</f>
        <v>6</v>
      </c>
      <c r="F3" s="18">
        <f>NETWORKDAYS(C3,D3,$H$1)</f>
        <v>4</v>
      </c>
    </row>
    <row r="4" spans="1:8" x14ac:dyDescent="0.2">
      <c r="A4" s="18">
        <v>2</v>
      </c>
      <c r="B4" s="18" t="s">
        <v>93</v>
      </c>
      <c r="C4" s="19">
        <v>41335</v>
      </c>
      <c r="D4" s="19">
        <v>41341</v>
      </c>
      <c r="E4" s="18">
        <f t="shared" ref="E4:E12" si="0">D4-C4+1</f>
        <v>7</v>
      </c>
      <c r="F4" s="18">
        <f t="shared" ref="F4:F12" si="1">NETWORKDAYS(C4,D4,$H$1)</f>
        <v>4</v>
      </c>
    </row>
    <row r="5" spans="1:8" x14ac:dyDescent="0.2">
      <c r="A5" s="18">
        <v>3</v>
      </c>
      <c r="B5" s="18" t="s">
        <v>94</v>
      </c>
      <c r="C5" s="19">
        <v>41338</v>
      </c>
      <c r="D5" s="19">
        <v>41338</v>
      </c>
      <c r="E5" s="18">
        <f t="shared" si="0"/>
        <v>1</v>
      </c>
      <c r="F5" s="18">
        <f t="shared" si="1"/>
        <v>1</v>
      </c>
    </row>
    <row r="6" spans="1:8" x14ac:dyDescent="0.2">
      <c r="A6" s="18">
        <v>4</v>
      </c>
      <c r="B6" s="18" t="s">
        <v>95</v>
      </c>
      <c r="C6" s="19">
        <v>41339</v>
      </c>
      <c r="D6" s="19">
        <v>41340</v>
      </c>
      <c r="E6" s="18">
        <f t="shared" si="0"/>
        <v>2</v>
      </c>
      <c r="F6" s="18">
        <f t="shared" si="1"/>
        <v>2</v>
      </c>
    </row>
    <row r="7" spans="1:8" x14ac:dyDescent="0.2">
      <c r="A7" s="18">
        <v>5</v>
      </c>
      <c r="B7" s="18" t="s">
        <v>96</v>
      </c>
      <c r="C7" s="19">
        <v>41340</v>
      </c>
      <c r="D7" s="19">
        <v>41353</v>
      </c>
      <c r="E7" s="18">
        <f t="shared" si="0"/>
        <v>14</v>
      </c>
      <c r="F7" s="18">
        <f t="shared" si="1"/>
        <v>9</v>
      </c>
    </row>
    <row r="8" spans="1:8" x14ac:dyDescent="0.2">
      <c r="A8" s="18">
        <v>6</v>
      </c>
      <c r="B8" s="18" t="s">
        <v>97</v>
      </c>
      <c r="C8" s="19">
        <v>41344</v>
      </c>
      <c r="D8" s="19">
        <v>41348</v>
      </c>
      <c r="E8" s="18">
        <f t="shared" si="0"/>
        <v>5</v>
      </c>
      <c r="F8" s="18">
        <f t="shared" si="1"/>
        <v>5</v>
      </c>
    </row>
    <row r="9" spans="1:8" x14ac:dyDescent="0.2">
      <c r="A9" s="18">
        <v>7</v>
      </c>
      <c r="B9" s="18" t="s">
        <v>98</v>
      </c>
      <c r="C9" s="19">
        <v>41345</v>
      </c>
      <c r="D9" s="19">
        <v>41348</v>
      </c>
      <c r="E9" s="18">
        <f t="shared" si="0"/>
        <v>4</v>
      </c>
      <c r="F9" s="18">
        <f t="shared" si="1"/>
        <v>4</v>
      </c>
    </row>
    <row r="10" spans="1:8" x14ac:dyDescent="0.2">
      <c r="A10" s="18">
        <v>8</v>
      </c>
      <c r="B10" s="18" t="s">
        <v>99</v>
      </c>
      <c r="C10" s="19">
        <v>41347</v>
      </c>
      <c r="D10" s="19">
        <v>41351</v>
      </c>
      <c r="E10" s="18">
        <f t="shared" si="0"/>
        <v>5</v>
      </c>
      <c r="F10" s="18">
        <f t="shared" si="1"/>
        <v>3</v>
      </c>
    </row>
    <row r="11" spans="1:8" x14ac:dyDescent="0.2">
      <c r="A11" s="18">
        <v>9</v>
      </c>
      <c r="B11" s="18" t="s">
        <v>100</v>
      </c>
      <c r="C11" s="19">
        <v>41351</v>
      </c>
      <c r="D11" s="19">
        <v>41353</v>
      </c>
      <c r="E11" s="18">
        <f t="shared" si="0"/>
        <v>3</v>
      </c>
      <c r="F11" s="18">
        <f t="shared" si="1"/>
        <v>3</v>
      </c>
    </row>
    <row r="12" spans="1:8" x14ac:dyDescent="0.2">
      <c r="A12" s="18">
        <v>10</v>
      </c>
      <c r="B12" s="18" t="s">
        <v>101</v>
      </c>
      <c r="C12" s="19">
        <v>41355</v>
      </c>
      <c r="D12" s="19">
        <v>41361</v>
      </c>
      <c r="E12" s="18">
        <f t="shared" si="0"/>
        <v>7</v>
      </c>
      <c r="F12" s="18">
        <f t="shared" si="1"/>
        <v>5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J51"/>
  <sheetViews>
    <sheetView showGridLines="0" tabSelected="1" workbookViewId="0">
      <selection activeCell="I2" sqref="I2"/>
    </sheetView>
  </sheetViews>
  <sheetFormatPr defaultRowHeight="14.25" x14ac:dyDescent="0.2"/>
  <cols>
    <col min="1" max="1" width="3.28515625" style="13" bestFit="1" customWidth="1"/>
    <col min="2" max="2" width="16.28515625" style="5" bestFit="1" customWidth="1"/>
    <col min="3" max="3" width="12.28515625" style="5" bestFit="1" customWidth="1"/>
    <col min="4" max="4" width="13.7109375" style="14" bestFit="1" customWidth="1"/>
    <col min="5" max="5" width="15.85546875" style="15" bestFit="1" customWidth="1"/>
    <col min="6" max="7" width="12.7109375" style="16" customWidth="1"/>
    <col min="8" max="8" width="10.28515625" style="5" customWidth="1"/>
    <col min="9" max="9" width="16.42578125" style="5" customWidth="1"/>
    <col min="10" max="10" width="18.7109375" style="5" customWidth="1"/>
    <col min="11" max="11" width="15.7109375" style="5" customWidth="1"/>
    <col min="12" max="16384" width="9.140625" style="5"/>
  </cols>
  <sheetData>
    <row r="1" spans="1:10" ht="30" customHeight="1" x14ac:dyDescent="0.2">
      <c r="A1" s="1" t="s">
        <v>103</v>
      </c>
      <c r="B1" s="2" t="s">
        <v>0</v>
      </c>
      <c r="C1" s="1" t="s">
        <v>1</v>
      </c>
      <c r="D1" s="1" t="s">
        <v>2</v>
      </c>
      <c r="E1" s="3" t="s">
        <v>104</v>
      </c>
      <c r="F1" s="4" t="s">
        <v>170</v>
      </c>
      <c r="G1" s="25" t="s">
        <v>171</v>
      </c>
      <c r="H1" s="25" t="s">
        <v>172</v>
      </c>
      <c r="I1" s="6" t="s">
        <v>71</v>
      </c>
      <c r="J1" s="7">
        <f ca="1">TODAY()</f>
        <v>41678</v>
      </c>
    </row>
    <row r="2" spans="1:10" x14ac:dyDescent="0.2">
      <c r="A2" s="8">
        <v>1</v>
      </c>
      <c r="B2" s="9" t="s">
        <v>3</v>
      </c>
      <c r="C2" s="10" t="s">
        <v>4</v>
      </c>
      <c r="D2" s="11" t="s">
        <v>5</v>
      </c>
      <c r="E2" s="12">
        <v>28010</v>
      </c>
      <c r="F2" s="26">
        <f ca="1">DATEDIF($E2,TODAY(),"y")</f>
        <v>37</v>
      </c>
      <c r="G2" s="27">
        <f ca="1">DATEDIF($E2,TODAY(),"ym")</f>
        <v>5</v>
      </c>
      <c r="H2" s="27">
        <f ca="1">DATEDIF($E2,TODAY(),"md")</f>
        <v>1</v>
      </c>
    </row>
    <row r="3" spans="1:10" x14ac:dyDescent="0.2">
      <c r="A3" s="8">
        <v>2</v>
      </c>
      <c r="B3" s="9" t="s">
        <v>105</v>
      </c>
      <c r="C3" s="10" t="s">
        <v>106</v>
      </c>
      <c r="D3" s="11" t="s">
        <v>107</v>
      </c>
      <c r="E3" s="12">
        <v>28994</v>
      </c>
      <c r="F3" s="26">
        <f t="shared" ref="F3:F51" ca="1" si="0">DATEDIF($E3,TODAY(),"y")</f>
        <v>34</v>
      </c>
      <c r="G3" s="27">
        <f t="shared" ref="G3:G51" ca="1" si="1">DATEDIF($E3,TODAY(),"ym")</f>
        <v>8</v>
      </c>
      <c r="H3" s="27">
        <f t="shared" ref="H3:H51" ca="1" si="2">DATEDIF($E3,TODAY(),"md")</f>
        <v>20</v>
      </c>
    </row>
    <row r="4" spans="1:10" x14ac:dyDescent="0.2">
      <c r="A4" s="8">
        <v>3</v>
      </c>
      <c r="B4" s="9" t="s">
        <v>6</v>
      </c>
      <c r="C4" s="10" t="s">
        <v>7</v>
      </c>
      <c r="D4" s="11" t="s">
        <v>8</v>
      </c>
      <c r="E4" s="12">
        <v>26452</v>
      </c>
      <c r="F4" s="26">
        <f t="shared" ca="1" si="0"/>
        <v>41</v>
      </c>
      <c r="G4" s="27">
        <f t="shared" ca="1" si="1"/>
        <v>8</v>
      </c>
      <c r="H4" s="27">
        <f t="shared" ca="1" si="2"/>
        <v>6</v>
      </c>
    </row>
    <row r="5" spans="1:10" x14ac:dyDescent="0.2">
      <c r="A5" s="8">
        <v>4</v>
      </c>
      <c r="B5" s="9" t="s">
        <v>108</v>
      </c>
      <c r="C5" s="10" t="s">
        <v>109</v>
      </c>
      <c r="D5" s="11" t="s">
        <v>110</v>
      </c>
      <c r="E5" s="12">
        <v>26504</v>
      </c>
      <c r="F5" s="26">
        <f t="shared" ca="1" si="0"/>
        <v>41</v>
      </c>
      <c r="G5" s="27">
        <f t="shared" ca="1" si="1"/>
        <v>6</v>
      </c>
      <c r="H5" s="27">
        <f t="shared" ca="1" si="2"/>
        <v>15</v>
      </c>
    </row>
    <row r="6" spans="1:10" x14ac:dyDescent="0.2">
      <c r="A6" s="8">
        <v>5</v>
      </c>
      <c r="B6" s="9" t="s">
        <v>111</v>
      </c>
      <c r="C6" s="10" t="s">
        <v>112</v>
      </c>
      <c r="D6" s="11" t="s">
        <v>113</v>
      </c>
      <c r="E6" s="12">
        <v>28493</v>
      </c>
      <c r="F6" s="26">
        <f t="shared" ca="1" si="0"/>
        <v>36</v>
      </c>
      <c r="G6" s="27">
        <f t="shared" ca="1" si="1"/>
        <v>1</v>
      </c>
      <c r="H6" s="27">
        <f t="shared" ca="1" si="2"/>
        <v>5</v>
      </c>
    </row>
    <row r="7" spans="1:10" x14ac:dyDescent="0.2">
      <c r="A7" s="8">
        <v>6</v>
      </c>
      <c r="B7" s="9" t="s">
        <v>9</v>
      </c>
      <c r="C7" s="10" t="s">
        <v>10</v>
      </c>
      <c r="D7" s="11" t="s">
        <v>11</v>
      </c>
      <c r="E7" s="12">
        <v>26065</v>
      </c>
      <c r="F7" s="26">
        <f t="shared" ca="1" si="0"/>
        <v>42</v>
      </c>
      <c r="G7" s="27">
        <f t="shared" ca="1" si="1"/>
        <v>8</v>
      </c>
      <c r="H7" s="27">
        <f t="shared" ca="1" si="2"/>
        <v>27</v>
      </c>
    </row>
    <row r="8" spans="1:10" x14ac:dyDescent="0.2">
      <c r="A8" s="8">
        <v>7</v>
      </c>
      <c r="B8" s="9" t="s">
        <v>12</v>
      </c>
      <c r="C8" s="10" t="s">
        <v>13</v>
      </c>
      <c r="D8" s="11" t="s">
        <v>14</v>
      </c>
      <c r="E8" s="12">
        <v>25013</v>
      </c>
      <c r="F8" s="26">
        <f t="shared" ca="1" si="0"/>
        <v>45</v>
      </c>
      <c r="G8" s="27">
        <f t="shared" ca="1" si="1"/>
        <v>7</v>
      </c>
      <c r="H8" s="27">
        <f t="shared" ca="1" si="2"/>
        <v>15</v>
      </c>
    </row>
    <row r="9" spans="1:10" x14ac:dyDescent="0.2">
      <c r="A9" s="8">
        <v>8</v>
      </c>
      <c r="B9" s="9" t="s">
        <v>15</v>
      </c>
      <c r="C9" s="10" t="s">
        <v>16</v>
      </c>
      <c r="D9" s="11" t="s">
        <v>17</v>
      </c>
      <c r="E9" s="12">
        <v>24714</v>
      </c>
      <c r="F9" s="26">
        <f t="shared" ca="1" si="0"/>
        <v>46</v>
      </c>
      <c r="G9" s="27">
        <f t="shared" ca="1" si="1"/>
        <v>5</v>
      </c>
      <c r="H9" s="27">
        <f t="shared" ca="1" si="2"/>
        <v>9</v>
      </c>
    </row>
    <row r="10" spans="1:10" x14ac:dyDescent="0.2">
      <c r="A10" s="8">
        <v>9</v>
      </c>
      <c r="B10" s="9" t="s">
        <v>114</v>
      </c>
      <c r="C10" s="10" t="s">
        <v>115</v>
      </c>
      <c r="D10" s="11" t="s">
        <v>116</v>
      </c>
      <c r="E10" s="12">
        <v>31225</v>
      </c>
      <c r="F10" s="26">
        <f t="shared" ca="1" si="0"/>
        <v>28</v>
      </c>
      <c r="G10" s="27">
        <f t="shared" ca="1" si="1"/>
        <v>7</v>
      </c>
      <c r="H10" s="27">
        <f t="shared" ca="1" si="2"/>
        <v>12</v>
      </c>
    </row>
    <row r="11" spans="1:10" x14ac:dyDescent="0.2">
      <c r="A11" s="8">
        <v>10</v>
      </c>
      <c r="B11" s="9" t="s">
        <v>18</v>
      </c>
      <c r="C11" s="10" t="s">
        <v>19</v>
      </c>
      <c r="D11" s="11" t="s">
        <v>20</v>
      </c>
      <c r="E11" s="12">
        <v>24630</v>
      </c>
      <c r="F11" s="26">
        <f t="shared" ca="1" si="0"/>
        <v>46</v>
      </c>
      <c r="G11" s="27">
        <f t="shared" ca="1" si="1"/>
        <v>8</v>
      </c>
      <c r="H11" s="27">
        <f t="shared" ca="1" si="2"/>
        <v>1</v>
      </c>
    </row>
    <row r="12" spans="1:10" x14ac:dyDescent="0.2">
      <c r="A12" s="8">
        <v>11</v>
      </c>
      <c r="B12" s="9" t="s">
        <v>18</v>
      </c>
      <c r="C12" s="10" t="s">
        <v>13</v>
      </c>
      <c r="D12" s="11" t="s">
        <v>14</v>
      </c>
      <c r="E12" s="12">
        <v>23440</v>
      </c>
      <c r="F12" s="26">
        <f t="shared" ca="1" si="0"/>
        <v>49</v>
      </c>
      <c r="G12" s="27">
        <f t="shared" ca="1" si="1"/>
        <v>11</v>
      </c>
      <c r="H12" s="27">
        <f t="shared" ca="1" si="2"/>
        <v>4</v>
      </c>
    </row>
    <row r="13" spans="1:10" x14ac:dyDescent="0.2">
      <c r="A13" s="8">
        <v>12</v>
      </c>
      <c r="B13" s="9" t="s">
        <v>117</v>
      </c>
      <c r="C13" s="10" t="s">
        <v>118</v>
      </c>
      <c r="D13" s="11" t="s">
        <v>116</v>
      </c>
      <c r="E13" s="12">
        <v>18084</v>
      </c>
      <c r="F13" s="26">
        <f t="shared" ca="1" si="0"/>
        <v>64</v>
      </c>
      <c r="G13" s="27">
        <f t="shared" ca="1" si="1"/>
        <v>7</v>
      </c>
      <c r="H13" s="27">
        <f t="shared" ca="1" si="2"/>
        <v>3</v>
      </c>
    </row>
    <row r="14" spans="1:10" x14ac:dyDescent="0.2">
      <c r="A14" s="8">
        <v>13</v>
      </c>
      <c r="B14" s="9" t="s">
        <v>21</v>
      </c>
      <c r="C14" s="10" t="s">
        <v>22</v>
      </c>
      <c r="D14" s="11" t="s">
        <v>23</v>
      </c>
      <c r="E14" s="12">
        <v>25538</v>
      </c>
      <c r="F14" s="26">
        <f t="shared" ca="1" si="0"/>
        <v>44</v>
      </c>
      <c r="G14" s="27">
        <f t="shared" ca="1" si="1"/>
        <v>2</v>
      </c>
      <c r="H14" s="27">
        <f t="shared" ca="1" si="2"/>
        <v>7</v>
      </c>
    </row>
    <row r="15" spans="1:10" x14ac:dyDescent="0.2">
      <c r="A15" s="8">
        <v>14</v>
      </c>
      <c r="B15" s="9" t="s">
        <v>119</v>
      </c>
      <c r="C15" s="10" t="s">
        <v>120</v>
      </c>
      <c r="D15" s="11" t="s">
        <v>121</v>
      </c>
      <c r="E15" s="12">
        <v>21318</v>
      </c>
      <c r="F15" s="26">
        <f t="shared" ca="1" si="0"/>
        <v>55</v>
      </c>
      <c r="G15" s="27">
        <f t="shared" ca="1" si="1"/>
        <v>8</v>
      </c>
      <c r="H15" s="27">
        <f t="shared" ca="1" si="2"/>
        <v>26</v>
      </c>
    </row>
    <row r="16" spans="1:10" x14ac:dyDescent="0.2">
      <c r="A16" s="8">
        <v>15</v>
      </c>
      <c r="B16" s="9" t="s">
        <v>24</v>
      </c>
      <c r="C16" s="10" t="s">
        <v>25</v>
      </c>
      <c r="D16" s="11" t="s">
        <v>26</v>
      </c>
      <c r="E16" s="12">
        <v>23370</v>
      </c>
      <c r="F16" s="26">
        <f t="shared" ca="1" si="0"/>
        <v>50</v>
      </c>
      <c r="G16" s="27">
        <f t="shared" ca="1" si="1"/>
        <v>1</v>
      </c>
      <c r="H16" s="27">
        <f t="shared" ca="1" si="2"/>
        <v>14</v>
      </c>
    </row>
    <row r="17" spans="1:8" x14ac:dyDescent="0.2">
      <c r="A17" s="8">
        <v>16</v>
      </c>
      <c r="B17" s="9" t="s">
        <v>122</v>
      </c>
      <c r="C17" s="10" t="s">
        <v>123</v>
      </c>
      <c r="D17" s="11" t="s">
        <v>124</v>
      </c>
      <c r="E17" s="12">
        <v>27133</v>
      </c>
      <c r="F17" s="26">
        <f t="shared" ca="1" si="0"/>
        <v>39</v>
      </c>
      <c r="G17" s="27">
        <f t="shared" ca="1" si="1"/>
        <v>9</v>
      </c>
      <c r="H17" s="27">
        <f t="shared" ca="1" si="2"/>
        <v>25</v>
      </c>
    </row>
    <row r="18" spans="1:8" x14ac:dyDescent="0.2">
      <c r="A18" s="8">
        <v>17</v>
      </c>
      <c r="B18" s="9" t="s">
        <v>122</v>
      </c>
      <c r="C18" s="10" t="s">
        <v>125</v>
      </c>
      <c r="D18" s="11" t="s">
        <v>126</v>
      </c>
      <c r="E18" s="12">
        <v>28320</v>
      </c>
      <c r="F18" s="26">
        <f t="shared" ca="1" si="0"/>
        <v>36</v>
      </c>
      <c r="G18" s="27">
        <f t="shared" ca="1" si="1"/>
        <v>6</v>
      </c>
      <c r="H18" s="27">
        <f t="shared" ca="1" si="2"/>
        <v>25</v>
      </c>
    </row>
    <row r="19" spans="1:8" x14ac:dyDescent="0.2">
      <c r="A19" s="8">
        <v>18</v>
      </c>
      <c r="B19" s="9" t="s">
        <v>127</v>
      </c>
      <c r="C19" s="10" t="s">
        <v>128</v>
      </c>
      <c r="D19" s="11" t="s">
        <v>129</v>
      </c>
      <c r="E19" s="12">
        <v>24957</v>
      </c>
      <c r="F19" s="26">
        <f t="shared" ca="1" si="0"/>
        <v>45</v>
      </c>
      <c r="G19" s="27">
        <f t="shared" ca="1" si="1"/>
        <v>9</v>
      </c>
      <c r="H19" s="27">
        <f t="shared" ca="1" si="2"/>
        <v>10</v>
      </c>
    </row>
    <row r="20" spans="1:8" x14ac:dyDescent="0.2">
      <c r="A20" s="8">
        <v>19</v>
      </c>
      <c r="B20" s="9" t="s">
        <v>27</v>
      </c>
      <c r="C20" s="10" t="s">
        <v>28</v>
      </c>
      <c r="D20" s="11" t="s">
        <v>29</v>
      </c>
      <c r="E20" s="12">
        <v>23048</v>
      </c>
      <c r="F20" s="26">
        <f t="shared" ca="1" si="0"/>
        <v>51</v>
      </c>
      <c r="G20" s="27">
        <f t="shared" ca="1" si="1"/>
        <v>0</v>
      </c>
      <c r="H20" s="27">
        <f t="shared" ca="1" si="2"/>
        <v>2</v>
      </c>
    </row>
    <row r="21" spans="1:8" x14ac:dyDescent="0.2">
      <c r="A21" s="8">
        <v>20</v>
      </c>
      <c r="B21" s="9" t="s">
        <v>130</v>
      </c>
      <c r="C21" s="10" t="s">
        <v>131</v>
      </c>
      <c r="D21" s="11" t="s">
        <v>132</v>
      </c>
      <c r="E21" s="12">
        <v>21450</v>
      </c>
      <c r="F21" s="26">
        <f t="shared" ca="1" si="0"/>
        <v>55</v>
      </c>
      <c r="G21" s="27">
        <f t="shared" ca="1" si="1"/>
        <v>4</v>
      </c>
      <c r="H21" s="27">
        <f t="shared" ca="1" si="2"/>
        <v>17</v>
      </c>
    </row>
    <row r="22" spans="1:8" x14ac:dyDescent="0.2">
      <c r="A22" s="8">
        <v>21</v>
      </c>
      <c r="B22" s="9" t="s">
        <v>30</v>
      </c>
      <c r="C22" s="10" t="s">
        <v>31</v>
      </c>
      <c r="D22" s="11" t="s">
        <v>32</v>
      </c>
      <c r="E22" s="12">
        <v>25494</v>
      </c>
      <c r="F22" s="26">
        <f t="shared" ca="1" si="0"/>
        <v>44</v>
      </c>
      <c r="G22" s="27">
        <f t="shared" ca="1" si="1"/>
        <v>3</v>
      </c>
      <c r="H22" s="27">
        <f t="shared" ca="1" si="2"/>
        <v>21</v>
      </c>
    </row>
    <row r="23" spans="1:8" x14ac:dyDescent="0.2">
      <c r="A23" s="8">
        <v>22</v>
      </c>
      <c r="B23" s="9" t="s">
        <v>33</v>
      </c>
      <c r="C23" s="10" t="s">
        <v>34</v>
      </c>
      <c r="D23" s="11" t="s">
        <v>35</v>
      </c>
      <c r="E23" s="12">
        <v>23091</v>
      </c>
      <c r="F23" s="26">
        <f t="shared" ca="1" si="0"/>
        <v>50</v>
      </c>
      <c r="G23" s="27">
        <f t="shared" ca="1" si="1"/>
        <v>10</v>
      </c>
      <c r="H23" s="27">
        <f t="shared" ca="1" si="2"/>
        <v>18</v>
      </c>
    </row>
    <row r="24" spans="1:8" x14ac:dyDescent="0.2">
      <c r="A24" s="8">
        <v>23</v>
      </c>
      <c r="B24" s="9" t="s">
        <v>133</v>
      </c>
      <c r="C24" s="10" t="s">
        <v>134</v>
      </c>
      <c r="D24" s="11" t="s">
        <v>36</v>
      </c>
      <c r="E24" s="12">
        <v>32763</v>
      </c>
      <c r="F24" s="26">
        <f t="shared" ca="1" si="0"/>
        <v>24</v>
      </c>
      <c r="G24" s="27">
        <f t="shared" ca="1" si="1"/>
        <v>4</v>
      </c>
      <c r="H24" s="27">
        <f t="shared" ca="1" si="2"/>
        <v>27</v>
      </c>
    </row>
    <row r="25" spans="1:8" x14ac:dyDescent="0.2">
      <c r="A25" s="8">
        <v>24</v>
      </c>
      <c r="B25" s="9" t="s">
        <v>37</v>
      </c>
      <c r="C25" s="10" t="s">
        <v>38</v>
      </c>
      <c r="D25" s="11" t="s">
        <v>36</v>
      </c>
      <c r="E25" s="12">
        <v>30253</v>
      </c>
      <c r="F25" s="26">
        <f t="shared" ca="1" si="0"/>
        <v>31</v>
      </c>
      <c r="G25" s="27">
        <f t="shared" ca="1" si="1"/>
        <v>3</v>
      </c>
      <c r="H25" s="27">
        <f t="shared" ca="1" si="2"/>
        <v>10</v>
      </c>
    </row>
    <row r="26" spans="1:8" x14ac:dyDescent="0.2">
      <c r="A26" s="8">
        <v>25</v>
      </c>
      <c r="B26" s="9" t="s">
        <v>135</v>
      </c>
      <c r="C26" s="10" t="s">
        <v>39</v>
      </c>
      <c r="D26" s="11" t="s">
        <v>40</v>
      </c>
      <c r="E26" s="12">
        <v>32451</v>
      </c>
      <c r="F26" s="26">
        <f t="shared" ca="1" si="0"/>
        <v>25</v>
      </c>
      <c r="G26" s="27">
        <f t="shared" ca="1" si="1"/>
        <v>3</v>
      </c>
      <c r="H26" s="27">
        <f t="shared" ca="1" si="2"/>
        <v>4</v>
      </c>
    </row>
    <row r="27" spans="1:8" x14ac:dyDescent="0.2">
      <c r="A27" s="8">
        <v>26</v>
      </c>
      <c r="B27" s="9" t="s">
        <v>41</v>
      </c>
      <c r="C27" s="10" t="s">
        <v>42</v>
      </c>
      <c r="D27" s="11" t="s">
        <v>43</v>
      </c>
      <c r="E27" s="12">
        <v>24172</v>
      </c>
      <c r="F27" s="26">
        <f t="shared" ca="1" si="0"/>
        <v>47</v>
      </c>
      <c r="G27" s="27">
        <f t="shared" ca="1" si="1"/>
        <v>11</v>
      </c>
      <c r="H27" s="27">
        <f t="shared" ca="1" si="2"/>
        <v>2</v>
      </c>
    </row>
    <row r="28" spans="1:8" x14ac:dyDescent="0.2">
      <c r="A28" s="8">
        <v>27</v>
      </c>
      <c r="B28" s="9" t="s">
        <v>136</v>
      </c>
      <c r="C28" s="10" t="s">
        <v>44</v>
      </c>
      <c r="D28" s="11" t="s">
        <v>137</v>
      </c>
      <c r="E28" s="12">
        <v>28244</v>
      </c>
      <c r="F28" s="26">
        <f t="shared" ca="1" si="0"/>
        <v>36</v>
      </c>
      <c r="G28" s="27">
        <f t="shared" ca="1" si="1"/>
        <v>9</v>
      </c>
      <c r="H28" s="27">
        <f t="shared" ca="1" si="2"/>
        <v>10</v>
      </c>
    </row>
    <row r="29" spans="1:8" x14ac:dyDescent="0.2">
      <c r="A29" s="8">
        <v>28</v>
      </c>
      <c r="B29" s="9" t="s">
        <v>45</v>
      </c>
      <c r="C29" s="10" t="s">
        <v>39</v>
      </c>
      <c r="D29" s="11" t="s">
        <v>46</v>
      </c>
      <c r="E29" s="12">
        <v>21929</v>
      </c>
      <c r="F29" s="26">
        <f t="shared" ca="1" si="0"/>
        <v>54</v>
      </c>
      <c r="G29" s="27">
        <f t="shared" ca="1" si="1"/>
        <v>0</v>
      </c>
      <c r="H29" s="27">
        <f t="shared" ca="1" si="2"/>
        <v>25</v>
      </c>
    </row>
    <row r="30" spans="1:8" x14ac:dyDescent="0.2">
      <c r="A30" s="8">
        <v>29</v>
      </c>
      <c r="B30" s="9" t="s">
        <v>47</v>
      </c>
      <c r="C30" s="10" t="s">
        <v>48</v>
      </c>
      <c r="D30" s="11" t="s">
        <v>40</v>
      </c>
      <c r="E30" s="12">
        <v>22196</v>
      </c>
      <c r="F30" s="26">
        <f t="shared" ca="1" si="0"/>
        <v>53</v>
      </c>
      <c r="G30" s="27">
        <f t="shared" ca="1" si="1"/>
        <v>4</v>
      </c>
      <c r="H30" s="27">
        <f t="shared" ca="1" si="2"/>
        <v>1</v>
      </c>
    </row>
    <row r="31" spans="1:8" x14ac:dyDescent="0.2">
      <c r="A31" s="8">
        <v>30</v>
      </c>
      <c r="B31" s="9" t="s">
        <v>138</v>
      </c>
      <c r="C31" s="10" t="s">
        <v>139</v>
      </c>
      <c r="D31" s="11" t="s">
        <v>140</v>
      </c>
      <c r="E31" s="12">
        <v>31967</v>
      </c>
      <c r="F31" s="26">
        <f t="shared" ca="1" si="0"/>
        <v>26</v>
      </c>
      <c r="G31" s="27">
        <f t="shared" ca="1" si="1"/>
        <v>6</v>
      </c>
      <c r="H31" s="27">
        <f t="shared" ca="1" si="2"/>
        <v>30</v>
      </c>
    </row>
    <row r="32" spans="1:8" x14ac:dyDescent="0.2">
      <c r="A32" s="8">
        <v>31</v>
      </c>
      <c r="B32" s="9" t="s">
        <v>49</v>
      </c>
      <c r="C32" s="10" t="s">
        <v>44</v>
      </c>
      <c r="D32" s="11" t="s">
        <v>43</v>
      </c>
      <c r="E32" s="12">
        <v>22803</v>
      </c>
      <c r="F32" s="26">
        <f t="shared" ca="1" si="0"/>
        <v>51</v>
      </c>
      <c r="G32" s="27">
        <f t="shared" ca="1" si="1"/>
        <v>8</v>
      </c>
      <c r="H32" s="27">
        <f t="shared" ca="1" si="2"/>
        <v>2</v>
      </c>
    </row>
    <row r="33" spans="1:8" x14ac:dyDescent="0.2">
      <c r="A33" s="8">
        <v>32</v>
      </c>
      <c r="B33" s="9" t="s">
        <v>49</v>
      </c>
      <c r="C33" s="10" t="s">
        <v>42</v>
      </c>
      <c r="D33" s="11" t="s">
        <v>43</v>
      </c>
      <c r="E33" s="12">
        <v>32940</v>
      </c>
      <c r="F33" s="26">
        <f t="shared" ca="1" si="0"/>
        <v>23</v>
      </c>
      <c r="G33" s="27">
        <f t="shared" ca="1" si="1"/>
        <v>11</v>
      </c>
      <c r="H33" s="27">
        <f t="shared" ca="1" si="2"/>
        <v>0</v>
      </c>
    </row>
    <row r="34" spans="1:8" x14ac:dyDescent="0.2">
      <c r="A34" s="8">
        <v>33</v>
      </c>
      <c r="B34" s="9" t="s">
        <v>50</v>
      </c>
      <c r="C34" s="10" t="s">
        <v>51</v>
      </c>
      <c r="D34" s="11" t="s">
        <v>52</v>
      </c>
      <c r="E34" s="12">
        <v>30735</v>
      </c>
      <c r="F34" s="26">
        <f t="shared" ca="1" si="0"/>
        <v>29</v>
      </c>
      <c r="G34" s="27">
        <f t="shared" ca="1" si="1"/>
        <v>11</v>
      </c>
      <c r="H34" s="27">
        <f t="shared" ca="1" si="2"/>
        <v>16</v>
      </c>
    </row>
    <row r="35" spans="1:8" x14ac:dyDescent="0.2">
      <c r="A35" s="8">
        <v>34</v>
      </c>
      <c r="B35" s="9" t="s">
        <v>50</v>
      </c>
      <c r="C35" s="10" t="s">
        <v>141</v>
      </c>
      <c r="D35" s="11" t="s">
        <v>142</v>
      </c>
      <c r="E35" s="12">
        <v>27437</v>
      </c>
      <c r="F35" s="26">
        <f t="shared" ca="1" si="0"/>
        <v>38</v>
      </c>
      <c r="G35" s="27">
        <f t="shared" ca="1" si="1"/>
        <v>11</v>
      </c>
      <c r="H35" s="27">
        <f t="shared" ca="1" si="2"/>
        <v>27</v>
      </c>
    </row>
    <row r="36" spans="1:8" x14ac:dyDescent="0.2">
      <c r="A36" s="8">
        <v>35</v>
      </c>
      <c r="B36" s="9" t="s">
        <v>143</v>
      </c>
      <c r="C36" s="10" t="s">
        <v>144</v>
      </c>
      <c r="D36" s="11" t="s">
        <v>145</v>
      </c>
      <c r="E36" s="12">
        <v>30483</v>
      </c>
      <c r="F36" s="26">
        <f t="shared" ca="1" si="0"/>
        <v>30</v>
      </c>
      <c r="G36" s="27">
        <f t="shared" ca="1" si="1"/>
        <v>7</v>
      </c>
      <c r="H36" s="27">
        <f t="shared" ca="1" si="2"/>
        <v>23</v>
      </c>
    </row>
    <row r="37" spans="1:8" x14ac:dyDescent="0.2">
      <c r="A37" s="8">
        <v>36</v>
      </c>
      <c r="B37" s="9" t="s">
        <v>53</v>
      </c>
      <c r="C37" s="10" t="s">
        <v>54</v>
      </c>
      <c r="D37" s="11" t="s">
        <v>55</v>
      </c>
      <c r="E37" s="12">
        <v>22608</v>
      </c>
      <c r="F37" s="26">
        <f t="shared" ca="1" si="0"/>
        <v>52</v>
      </c>
      <c r="G37" s="27">
        <f t="shared" ca="1" si="1"/>
        <v>2</v>
      </c>
      <c r="H37" s="27">
        <f t="shared" ca="1" si="2"/>
        <v>16</v>
      </c>
    </row>
    <row r="38" spans="1:8" x14ac:dyDescent="0.2">
      <c r="A38" s="8">
        <v>37</v>
      </c>
      <c r="B38" s="9" t="s">
        <v>146</v>
      </c>
      <c r="C38" s="10" t="s">
        <v>54</v>
      </c>
      <c r="D38" s="11" t="s">
        <v>55</v>
      </c>
      <c r="E38" s="12">
        <v>25887</v>
      </c>
      <c r="F38" s="26">
        <f t="shared" ca="1" si="0"/>
        <v>43</v>
      </c>
      <c r="G38" s="27">
        <f t="shared" ca="1" si="1"/>
        <v>2</v>
      </c>
      <c r="H38" s="27">
        <f t="shared" ca="1" si="2"/>
        <v>24</v>
      </c>
    </row>
    <row r="39" spans="1:8" x14ac:dyDescent="0.2">
      <c r="A39" s="8">
        <v>38</v>
      </c>
      <c r="B39" s="9" t="s">
        <v>56</v>
      </c>
      <c r="C39" s="10" t="s">
        <v>57</v>
      </c>
      <c r="D39" s="11" t="s">
        <v>58</v>
      </c>
      <c r="E39" s="12">
        <v>22127</v>
      </c>
      <c r="F39" s="26">
        <f t="shared" ca="1" si="0"/>
        <v>53</v>
      </c>
      <c r="G39" s="27">
        <f t="shared" ca="1" si="1"/>
        <v>6</v>
      </c>
      <c r="H39" s="27">
        <f t="shared" ca="1" si="2"/>
        <v>9</v>
      </c>
    </row>
    <row r="40" spans="1:8" x14ac:dyDescent="0.2">
      <c r="A40" s="8">
        <v>39</v>
      </c>
      <c r="B40" s="9" t="s">
        <v>56</v>
      </c>
      <c r="C40" s="10" t="s">
        <v>147</v>
      </c>
      <c r="D40" s="11" t="s">
        <v>58</v>
      </c>
      <c r="E40" s="12">
        <v>23927</v>
      </c>
      <c r="F40" s="26">
        <f t="shared" ca="1" si="0"/>
        <v>48</v>
      </c>
      <c r="G40" s="27">
        <f t="shared" ca="1" si="1"/>
        <v>7</v>
      </c>
      <c r="H40" s="27">
        <f t="shared" ca="1" si="2"/>
        <v>4</v>
      </c>
    </row>
    <row r="41" spans="1:8" x14ac:dyDescent="0.2">
      <c r="A41" s="8">
        <v>40</v>
      </c>
      <c r="B41" s="9" t="s">
        <v>148</v>
      </c>
      <c r="C41" s="10" t="s">
        <v>149</v>
      </c>
      <c r="D41" s="11" t="s">
        <v>150</v>
      </c>
      <c r="E41" s="12">
        <v>24898</v>
      </c>
      <c r="F41" s="26">
        <f t="shared" ca="1" si="0"/>
        <v>45</v>
      </c>
      <c r="G41" s="27">
        <f t="shared" ca="1" si="1"/>
        <v>11</v>
      </c>
      <c r="H41" s="27">
        <f t="shared" ca="1" si="2"/>
        <v>7</v>
      </c>
    </row>
    <row r="42" spans="1:8" x14ac:dyDescent="0.2">
      <c r="A42" s="8">
        <v>41</v>
      </c>
      <c r="B42" s="9" t="s">
        <v>59</v>
      </c>
      <c r="C42" s="10" t="s">
        <v>60</v>
      </c>
      <c r="D42" s="11" t="s">
        <v>61</v>
      </c>
      <c r="E42" s="12">
        <v>22390</v>
      </c>
      <c r="F42" s="26">
        <f t="shared" ca="1" si="0"/>
        <v>52</v>
      </c>
      <c r="G42" s="27">
        <f t="shared" ca="1" si="1"/>
        <v>9</v>
      </c>
      <c r="H42" s="27">
        <f t="shared" ca="1" si="2"/>
        <v>20</v>
      </c>
    </row>
    <row r="43" spans="1:8" x14ac:dyDescent="0.2">
      <c r="A43" s="8">
        <v>42</v>
      </c>
      <c r="B43" s="9" t="s">
        <v>151</v>
      </c>
      <c r="C43" s="10" t="s">
        <v>152</v>
      </c>
      <c r="D43" s="11" t="s">
        <v>153</v>
      </c>
      <c r="E43" s="12">
        <v>27987</v>
      </c>
      <c r="F43" s="26">
        <f t="shared" ca="1" si="0"/>
        <v>37</v>
      </c>
      <c r="G43" s="27">
        <f t="shared" ca="1" si="1"/>
        <v>5</v>
      </c>
      <c r="H43" s="27">
        <f t="shared" ca="1" si="2"/>
        <v>24</v>
      </c>
    </row>
    <row r="44" spans="1:8" x14ac:dyDescent="0.2">
      <c r="A44" s="8">
        <v>43</v>
      </c>
      <c r="B44" s="9" t="s">
        <v>62</v>
      </c>
      <c r="C44" s="10" t="s">
        <v>63</v>
      </c>
      <c r="D44" s="11" t="s">
        <v>64</v>
      </c>
      <c r="E44" s="12">
        <v>28781</v>
      </c>
      <c r="F44" s="26">
        <f t="shared" ca="1" si="0"/>
        <v>35</v>
      </c>
      <c r="G44" s="27">
        <f t="shared" ca="1" si="1"/>
        <v>3</v>
      </c>
      <c r="H44" s="27">
        <f t="shared" ca="1" si="2"/>
        <v>21</v>
      </c>
    </row>
    <row r="45" spans="1:8" x14ac:dyDescent="0.2">
      <c r="A45" s="8">
        <v>44</v>
      </c>
      <c r="B45" s="9" t="s">
        <v>65</v>
      </c>
      <c r="C45" s="10" t="s">
        <v>66</v>
      </c>
      <c r="D45" s="11" t="s">
        <v>67</v>
      </c>
      <c r="E45" s="12">
        <v>29304</v>
      </c>
      <c r="F45" s="26">
        <f t="shared" ca="1" si="0"/>
        <v>33</v>
      </c>
      <c r="G45" s="27">
        <f t="shared" ca="1" si="1"/>
        <v>10</v>
      </c>
      <c r="H45" s="27">
        <f t="shared" ca="1" si="2"/>
        <v>15</v>
      </c>
    </row>
    <row r="46" spans="1:8" x14ac:dyDescent="0.2">
      <c r="A46" s="8">
        <v>45</v>
      </c>
      <c r="B46" s="9" t="s">
        <v>154</v>
      </c>
      <c r="C46" s="10" t="s">
        <v>155</v>
      </c>
      <c r="D46" s="11" t="s">
        <v>156</v>
      </c>
      <c r="E46" s="12">
        <v>33034</v>
      </c>
      <c r="F46" s="26">
        <f t="shared" ca="1" si="0"/>
        <v>23</v>
      </c>
      <c r="G46" s="27">
        <f t="shared" ca="1" si="1"/>
        <v>7</v>
      </c>
      <c r="H46" s="27">
        <f t="shared" ca="1" si="2"/>
        <v>29</v>
      </c>
    </row>
    <row r="47" spans="1:8" x14ac:dyDescent="0.2">
      <c r="A47" s="8">
        <v>46</v>
      </c>
      <c r="B47" s="9" t="s">
        <v>68</v>
      </c>
      <c r="C47" s="10" t="s">
        <v>69</v>
      </c>
      <c r="D47" s="11" t="s">
        <v>70</v>
      </c>
      <c r="E47" s="12">
        <v>22696</v>
      </c>
      <c r="F47" s="26">
        <f t="shared" ca="1" si="0"/>
        <v>51</v>
      </c>
      <c r="G47" s="27">
        <f t="shared" ca="1" si="1"/>
        <v>11</v>
      </c>
      <c r="H47" s="27">
        <f t="shared" ca="1" si="2"/>
        <v>20</v>
      </c>
    </row>
    <row r="48" spans="1:8" x14ac:dyDescent="0.2">
      <c r="A48" s="8">
        <v>47</v>
      </c>
      <c r="B48" s="9" t="s">
        <v>157</v>
      </c>
      <c r="C48" s="10" t="s">
        <v>158</v>
      </c>
      <c r="D48" s="11" t="s">
        <v>159</v>
      </c>
      <c r="E48" s="12">
        <v>23627</v>
      </c>
      <c r="F48" s="26">
        <f t="shared" ca="1" si="0"/>
        <v>49</v>
      </c>
      <c r="G48" s="27">
        <f t="shared" ca="1" si="1"/>
        <v>5</v>
      </c>
      <c r="H48" s="27">
        <f t="shared" ca="1" si="2"/>
        <v>1</v>
      </c>
    </row>
    <row r="49" spans="1:8" x14ac:dyDescent="0.2">
      <c r="A49" s="8">
        <v>48</v>
      </c>
      <c r="B49" s="9" t="s">
        <v>160</v>
      </c>
      <c r="C49" s="10" t="s">
        <v>161</v>
      </c>
      <c r="D49" s="11" t="s">
        <v>162</v>
      </c>
      <c r="E49" s="12">
        <v>27889</v>
      </c>
      <c r="F49" s="26">
        <f t="shared" ca="1" si="0"/>
        <v>37</v>
      </c>
      <c r="G49" s="27">
        <f t="shared" ca="1" si="1"/>
        <v>8</v>
      </c>
      <c r="H49" s="27">
        <f t="shared" ca="1" si="2"/>
        <v>30</v>
      </c>
    </row>
    <row r="50" spans="1:8" x14ac:dyDescent="0.2">
      <c r="A50" s="8">
        <v>49</v>
      </c>
      <c r="B50" s="9" t="s">
        <v>163</v>
      </c>
      <c r="C50" s="10" t="s">
        <v>164</v>
      </c>
      <c r="D50" s="11" t="s">
        <v>165</v>
      </c>
      <c r="E50" s="12">
        <v>28648</v>
      </c>
      <c r="F50" s="26">
        <f t="shared" ca="1" si="0"/>
        <v>35</v>
      </c>
      <c r="G50" s="27">
        <f t="shared" ca="1" si="1"/>
        <v>8</v>
      </c>
      <c r="H50" s="27">
        <f t="shared" ca="1" si="2"/>
        <v>1</v>
      </c>
    </row>
    <row r="51" spans="1:8" x14ac:dyDescent="0.2">
      <c r="A51" s="8">
        <v>50</v>
      </c>
      <c r="B51" s="9" t="s">
        <v>166</v>
      </c>
      <c r="C51" s="10" t="s">
        <v>167</v>
      </c>
      <c r="D51" s="11" t="s">
        <v>168</v>
      </c>
      <c r="E51" s="12">
        <v>29002</v>
      </c>
      <c r="F51" s="26">
        <f t="shared" ca="1" si="0"/>
        <v>34</v>
      </c>
      <c r="G51" s="27">
        <f t="shared" ca="1" si="1"/>
        <v>8</v>
      </c>
      <c r="H51" s="27">
        <f t="shared" ca="1" si="2"/>
        <v>12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ЗАДАНИЕ1</vt:lpstr>
      <vt:lpstr>ЗАДАНИЕ2</vt:lpstr>
      <vt:lpstr>ЗАДАНИЕ3</vt:lpstr>
      <vt:lpstr>ЗАДАНИЕ4</vt:lpstr>
    </vt:vector>
  </TitlesOfParts>
  <Company>Родной Дом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dcterms:created xsi:type="dcterms:W3CDTF">2006-07-26T19:53:09Z</dcterms:created>
  <dcterms:modified xsi:type="dcterms:W3CDTF">2014-02-08T09:24:08Z</dcterms:modified>
</cp:coreProperties>
</file>